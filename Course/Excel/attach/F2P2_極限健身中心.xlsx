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04037E30-FF5A-42CB-A48E-3412955FE818}" xr6:coauthVersionLast="46" xr6:coauthVersionMax="46" xr10:uidLastSave="{00000000-0000-0000-0000-000000000000}"/>
  <bookViews>
    <workbookView xWindow="-120" yWindow="-120" windowWidth="29040" windowHeight="15840" xr2:uid="{62B8B0E8-EACA-441F-9BA2-91F37FAAA956}"/>
  </bookViews>
  <sheets>
    <sheet name="各課程學員人數統計" sheetId="1" r:id="rId1"/>
    <sheet name="各中心人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G10" i="2"/>
  <c r="G9" i="2"/>
  <c r="G8" i="2"/>
  <c r="G7" i="2"/>
  <c r="G6" i="2"/>
  <c r="G5" i="2"/>
  <c r="G4" i="2"/>
  <c r="G3" i="2"/>
  <c r="B4" i="2"/>
  <c r="B5" i="2"/>
  <c r="B3" i="2"/>
</calcChain>
</file>

<file path=xl/sharedStrings.xml><?xml version="1.0" encoding="utf-8"?>
<sst xmlns="http://schemas.openxmlformats.org/spreadsheetml/2006/main" count="102" uniqueCount="33">
  <si>
    <t>基礎重量訓練</t>
  </si>
  <si>
    <t>懸吊訓練</t>
  </si>
  <si>
    <t>有氧舞蹈訓練</t>
  </si>
  <si>
    <t>肌筋膜訓練</t>
  </si>
  <si>
    <t>伸展與自由搏擊</t>
  </si>
  <si>
    <t>飛輪訓練</t>
  </si>
  <si>
    <t>多功能肌力訓練</t>
  </si>
  <si>
    <t>核心肌群訓練</t>
  </si>
  <si>
    <t>陳莉瑩</t>
  </si>
  <si>
    <t>陳婉芬</t>
  </si>
  <si>
    <t>邱憶涵</t>
  </si>
  <si>
    <t>周婷婷</t>
  </si>
  <si>
    <t>沈淑玲</t>
  </si>
  <si>
    <t>李文玉</t>
  </si>
  <si>
    <t>江麗美</t>
  </si>
  <si>
    <t>旁聽總人數</t>
  </si>
  <si>
    <t>報名總人數</t>
  </si>
  <si>
    <t>課程</t>
    <phoneticPr fontId="4" type="noConversion"/>
  </si>
  <si>
    <t>日期</t>
    <phoneticPr fontId="4" type="noConversion"/>
  </si>
  <si>
    <t>旁聽人數</t>
    <phoneticPr fontId="4" type="noConversion"/>
  </si>
  <si>
    <t>報名人數</t>
    <phoneticPr fontId="4" type="noConversion"/>
  </si>
  <si>
    <t>講師</t>
    <phoneticPr fontId="4" type="noConversion"/>
  </si>
  <si>
    <t>北區中心</t>
    <phoneticPr fontId="4" type="noConversion"/>
  </si>
  <si>
    <t>中區中心</t>
    <phoneticPr fontId="4" type="noConversion"/>
  </si>
  <si>
    <t>南區中心</t>
    <phoneticPr fontId="4" type="noConversion"/>
  </si>
  <si>
    <t>分區</t>
    <phoneticPr fontId="4" type="noConversion"/>
  </si>
  <si>
    <t>總人數</t>
    <phoneticPr fontId="4" type="noConversion"/>
  </si>
  <si>
    <t>班別</t>
    <phoneticPr fontId="4" type="noConversion"/>
  </si>
  <si>
    <t>早</t>
    <phoneticPr fontId="4" type="noConversion"/>
  </si>
  <si>
    <t>午</t>
    <phoneticPr fontId="4" type="noConversion"/>
  </si>
  <si>
    <t>晚</t>
    <phoneticPr fontId="4" type="noConversion"/>
  </si>
  <si>
    <t>劉麗萍</t>
    <phoneticPr fontId="4" type="noConversion"/>
  </si>
  <si>
    <t>合計人數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</si>
</sst>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9C0006"/>
      <name val="微軟正黑體"/>
      <family val="2"/>
      <charset val="136"/>
    </font>
    <font>
      <sz val="11"/>
      <color rgb="FF9C5700"/>
      <name val="微軟正黑體"/>
      <family val="2"/>
      <charset val="136"/>
    </font>
    <font>
      <b/>
      <sz val="11"/>
      <color rgb="FF9C5700"/>
      <name val="微軟正黑體"/>
      <family val="2"/>
      <charset val="136"/>
    </font>
    <font>
      <b/>
      <sz val="11"/>
      <color rgb="FF9C0006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7" borderId="4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7" borderId="2" xfId="3" applyFont="1" applyBorder="1">
      <alignment vertical="center"/>
    </xf>
    <xf numFmtId="0" fontId="2" fillId="7" borderId="2" xfId="3" applyFont="1" applyBorder="1">
      <alignment vertical="center"/>
    </xf>
    <xf numFmtId="0" fontId="3" fillId="4" borderId="3" xfId="0" applyFont="1" applyFill="1" applyBorder="1" applyAlignment="1">
      <alignment horizontal="right" vertical="center"/>
    </xf>
    <xf numFmtId="0" fontId="1" fillId="4" borderId="3" xfId="0" applyFont="1" applyFill="1" applyBorder="1">
      <alignment vertical="center"/>
    </xf>
    <xf numFmtId="0" fontId="3" fillId="8" borderId="3" xfId="4" applyFont="1" applyBorder="1" applyAlignment="1">
      <alignment horizontal="center" vertical="center"/>
    </xf>
    <xf numFmtId="0" fontId="1" fillId="8" borderId="3" xfId="4" applyBorder="1" applyAlignment="1">
      <alignment horizontal="center" vertical="center"/>
    </xf>
    <xf numFmtId="0" fontId="8" fillId="6" borderId="2" xfId="2" applyFont="1" applyBorder="1">
      <alignment vertical="center"/>
    </xf>
    <xf numFmtId="0" fontId="8" fillId="6" borderId="2" xfId="2" applyFont="1" applyBorder="1" applyAlignment="1">
      <alignment horizontal="right" vertical="center"/>
    </xf>
    <xf numFmtId="0" fontId="9" fillId="5" borderId="0" xfId="1" applyFont="1">
      <alignment vertical="center"/>
    </xf>
  </cellXfs>
  <cellStyles count="5">
    <cellStyle name="20% - 輔色5" xfId="4" builtinId="46"/>
    <cellStyle name="一般" xfId="0" builtinId="0"/>
    <cellStyle name="中等" xfId="2" builtinId="28"/>
    <cellStyle name="備註" xfId="3" builtinId="10"/>
    <cellStyle name="壞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AE3-6109-4706-BD6E-DD82F265E3F4}">
  <dimension ref="B2:J22"/>
  <sheetViews>
    <sheetView tabSelected="1" workbookViewId="0">
      <selection activeCell="D3" sqref="D3"/>
    </sheetView>
  </sheetViews>
  <sheetFormatPr defaultRowHeight="17.25" customHeight="1" x14ac:dyDescent="0.25"/>
  <cols>
    <col min="1" max="1" width="2.75" style="1" customWidth="1"/>
    <col min="2" max="2" width="12.5" style="1" bestFit="1" customWidth="1"/>
    <col min="3" max="3" width="15.375" style="1" bestFit="1" customWidth="1"/>
    <col min="4" max="5" width="11.25" style="1" bestFit="1" customWidth="1"/>
    <col min="6" max="6" width="6.875" style="1" customWidth="1"/>
    <col min="7" max="7" width="12.5" style="1" bestFit="1" customWidth="1"/>
    <col min="8" max="8" width="15.375" style="1" bestFit="1" customWidth="1"/>
    <col min="9" max="10" width="11.25" style="1" bestFit="1" customWidth="1"/>
    <col min="11" max="16384" width="9" style="1"/>
  </cols>
  <sheetData>
    <row r="2" spans="2:10" ht="17.25" customHeight="1" x14ac:dyDescent="0.25">
      <c r="B2" s="6" t="s">
        <v>18</v>
      </c>
      <c r="C2" s="6" t="s">
        <v>17</v>
      </c>
      <c r="D2" s="6" t="s">
        <v>16</v>
      </c>
      <c r="E2" s="6" t="s">
        <v>15</v>
      </c>
      <c r="G2" s="5" t="s">
        <v>18</v>
      </c>
      <c r="H2" s="5" t="s">
        <v>17</v>
      </c>
      <c r="I2" s="5" t="s">
        <v>16</v>
      </c>
      <c r="J2" s="5" t="s">
        <v>15</v>
      </c>
    </row>
    <row r="3" spans="2:10" ht="17.25" customHeight="1" x14ac:dyDescent="0.25">
      <c r="B3" s="9">
        <v>44542</v>
      </c>
      <c r="C3" s="3" t="s">
        <v>6</v>
      </c>
      <c r="D3" s="3">
        <v>5</v>
      </c>
      <c r="E3" s="3">
        <v>1</v>
      </c>
      <c r="G3" s="8">
        <v>44546</v>
      </c>
      <c r="H3" s="2" t="s">
        <v>6</v>
      </c>
      <c r="I3" s="2">
        <v>34</v>
      </c>
      <c r="J3" s="2">
        <v>5</v>
      </c>
    </row>
    <row r="4" spans="2:10" ht="17.25" customHeight="1" x14ac:dyDescent="0.25">
      <c r="B4" s="9"/>
      <c r="C4" s="3" t="s">
        <v>4</v>
      </c>
      <c r="D4" s="3">
        <v>7</v>
      </c>
      <c r="E4" s="3">
        <v>1</v>
      </c>
      <c r="G4" s="8"/>
      <c r="H4" s="2" t="s">
        <v>4</v>
      </c>
      <c r="I4" s="2">
        <v>4</v>
      </c>
      <c r="J4" s="2">
        <v>1</v>
      </c>
    </row>
    <row r="5" spans="2:10" ht="17.25" customHeight="1" x14ac:dyDescent="0.25">
      <c r="B5" s="9"/>
      <c r="C5" s="3" t="s">
        <v>0</v>
      </c>
      <c r="D5" s="3">
        <v>4</v>
      </c>
      <c r="E5" s="3">
        <v>0</v>
      </c>
      <c r="G5" s="8"/>
      <c r="H5" s="2" t="s">
        <v>2</v>
      </c>
      <c r="I5" s="2">
        <v>5</v>
      </c>
      <c r="J5" s="2">
        <v>1</v>
      </c>
    </row>
    <row r="6" spans="2:10" ht="17.25" customHeight="1" x14ac:dyDescent="0.25">
      <c r="B6" s="9"/>
      <c r="C6" s="3" t="s">
        <v>7</v>
      </c>
      <c r="D6" s="3">
        <v>10</v>
      </c>
      <c r="E6" s="3">
        <v>1</v>
      </c>
      <c r="G6" s="8"/>
      <c r="H6" s="2" t="s">
        <v>5</v>
      </c>
      <c r="I6" s="2">
        <v>25</v>
      </c>
      <c r="J6" s="2">
        <v>6</v>
      </c>
    </row>
    <row r="7" spans="2:10" ht="17.25" customHeight="1" x14ac:dyDescent="0.25">
      <c r="B7" s="9">
        <v>44543</v>
      </c>
      <c r="C7" s="3" t="s">
        <v>6</v>
      </c>
      <c r="D7" s="3">
        <v>10</v>
      </c>
      <c r="E7" s="3">
        <v>4</v>
      </c>
      <c r="G7" s="8"/>
      <c r="H7" s="2" t="s">
        <v>0</v>
      </c>
      <c r="I7" s="2">
        <v>6</v>
      </c>
      <c r="J7" s="2">
        <v>0</v>
      </c>
    </row>
    <row r="8" spans="2:10" ht="17.25" customHeight="1" x14ac:dyDescent="0.25">
      <c r="B8" s="9"/>
      <c r="C8" s="3" t="s">
        <v>4</v>
      </c>
      <c r="D8" s="3">
        <v>8</v>
      </c>
      <c r="E8" s="3">
        <v>0</v>
      </c>
      <c r="G8" s="8"/>
      <c r="H8" s="2" t="s">
        <v>7</v>
      </c>
      <c r="I8" s="2">
        <v>9</v>
      </c>
      <c r="J8" s="2">
        <v>3</v>
      </c>
    </row>
    <row r="9" spans="2:10" ht="17.25" customHeight="1" x14ac:dyDescent="0.25">
      <c r="B9" s="9"/>
      <c r="C9" s="3" t="s">
        <v>2</v>
      </c>
      <c r="D9" s="3">
        <v>3</v>
      </c>
      <c r="E9" s="3">
        <v>2</v>
      </c>
      <c r="G9" s="8">
        <v>44547</v>
      </c>
      <c r="H9" s="2" t="s">
        <v>6</v>
      </c>
      <c r="I9" s="2">
        <v>4</v>
      </c>
      <c r="J9" s="2">
        <v>2</v>
      </c>
    </row>
    <row r="10" spans="2:10" ht="17.25" customHeight="1" x14ac:dyDescent="0.25">
      <c r="B10" s="9"/>
      <c r="C10" s="3" t="s">
        <v>1</v>
      </c>
      <c r="D10" s="3">
        <v>11</v>
      </c>
      <c r="E10" s="3">
        <v>2</v>
      </c>
      <c r="G10" s="8"/>
      <c r="H10" s="2" t="s">
        <v>4</v>
      </c>
      <c r="I10" s="2">
        <v>5</v>
      </c>
      <c r="J10" s="2">
        <v>4</v>
      </c>
    </row>
    <row r="11" spans="2:10" ht="17.25" customHeight="1" x14ac:dyDescent="0.25">
      <c r="B11" s="9"/>
      <c r="C11" s="3" t="s">
        <v>0</v>
      </c>
      <c r="D11" s="3">
        <v>6</v>
      </c>
      <c r="E11" s="3">
        <v>1</v>
      </c>
      <c r="G11" s="8"/>
      <c r="H11" s="2" t="s">
        <v>1</v>
      </c>
      <c r="I11" s="2">
        <v>11</v>
      </c>
      <c r="J11" s="2">
        <v>0</v>
      </c>
    </row>
    <row r="12" spans="2:10" ht="17.25" customHeight="1" x14ac:dyDescent="0.25">
      <c r="B12" s="9">
        <v>44544</v>
      </c>
      <c r="C12" s="3" t="s">
        <v>6</v>
      </c>
      <c r="D12" s="3">
        <v>20</v>
      </c>
      <c r="E12" s="3">
        <v>1</v>
      </c>
      <c r="G12" s="8"/>
      <c r="H12" s="2" t="s">
        <v>0</v>
      </c>
      <c r="I12" s="2">
        <v>7</v>
      </c>
      <c r="J12" s="2">
        <v>2</v>
      </c>
    </row>
    <row r="13" spans="2:10" ht="17.25" customHeight="1" x14ac:dyDescent="0.25">
      <c r="B13" s="9"/>
      <c r="C13" s="3" t="s">
        <v>2</v>
      </c>
      <c r="D13" s="3">
        <v>6</v>
      </c>
      <c r="E13" s="3">
        <v>2</v>
      </c>
      <c r="G13" s="8"/>
      <c r="H13" s="2" t="s">
        <v>3</v>
      </c>
      <c r="I13" s="2">
        <v>16</v>
      </c>
      <c r="J13" s="2">
        <v>6</v>
      </c>
    </row>
    <row r="14" spans="2:10" ht="17.25" customHeight="1" x14ac:dyDescent="0.25">
      <c r="B14" s="9"/>
      <c r="C14" s="3" t="s">
        <v>1</v>
      </c>
      <c r="D14" s="3">
        <v>3</v>
      </c>
      <c r="E14" s="3">
        <v>1</v>
      </c>
      <c r="G14" s="8">
        <v>44549</v>
      </c>
      <c r="H14" s="2" t="s">
        <v>6</v>
      </c>
      <c r="I14" s="2">
        <v>7</v>
      </c>
      <c r="J14" s="2">
        <v>0</v>
      </c>
    </row>
    <row r="15" spans="2:10" ht="17.25" customHeight="1" x14ac:dyDescent="0.25">
      <c r="B15" s="9"/>
      <c r="C15" s="3" t="s">
        <v>0</v>
      </c>
      <c r="D15" s="3">
        <v>7</v>
      </c>
      <c r="E15" s="3">
        <v>2</v>
      </c>
      <c r="G15" s="8"/>
      <c r="H15" s="2" t="s">
        <v>4</v>
      </c>
      <c r="I15" s="2">
        <v>6</v>
      </c>
      <c r="J15" s="2">
        <v>2</v>
      </c>
    </row>
    <row r="16" spans="2:10" ht="17.25" customHeight="1" x14ac:dyDescent="0.25">
      <c r="B16" s="9"/>
      <c r="C16" s="3" t="s">
        <v>7</v>
      </c>
      <c r="D16" s="3">
        <v>9</v>
      </c>
      <c r="E16" s="3">
        <v>2</v>
      </c>
      <c r="G16" s="8"/>
      <c r="H16" s="2" t="s">
        <v>0</v>
      </c>
      <c r="I16" s="2">
        <v>8</v>
      </c>
      <c r="J16" s="2">
        <v>1</v>
      </c>
    </row>
    <row r="17" spans="2:10" ht="17.25" customHeight="1" x14ac:dyDescent="0.25">
      <c r="B17" s="9"/>
      <c r="C17" s="3" t="s">
        <v>3</v>
      </c>
      <c r="D17" s="3">
        <v>12</v>
      </c>
      <c r="E17" s="3">
        <v>1</v>
      </c>
      <c r="G17" s="8"/>
      <c r="H17" s="2" t="s">
        <v>7</v>
      </c>
      <c r="I17" s="2">
        <v>8</v>
      </c>
      <c r="J17" s="2">
        <v>0</v>
      </c>
    </row>
    <row r="18" spans="2:10" ht="17.25" customHeight="1" x14ac:dyDescent="0.25">
      <c r="B18" s="9">
        <v>44545</v>
      </c>
      <c r="C18" s="3" t="s">
        <v>6</v>
      </c>
      <c r="D18" s="3">
        <v>8</v>
      </c>
      <c r="E18" s="3">
        <v>3</v>
      </c>
      <c r="G18" s="8">
        <v>44550</v>
      </c>
      <c r="H18" s="2" t="s">
        <v>6</v>
      </c>
      <c r="I18" s="2">
        <v>6</v>
      </c>
      <c r="J18" s="2">
        <v>2</v>
      </c>
    </row>
    <row r="19" spans="2:10" ht="17.25" customHeight="1" x14ac:dyDescent="0.25">
      <c r="B19" s="9"/>
      <c r="C19" s="3" t="s">
        <v>5</v>
      </c>
      <c r="D19" s="3">
        <v>12</v>
      </c>
      <c r="E19" s="3">
        <v>2</v>
      </c>
      <c r="G19" s="8"/>
      <c r="H19" s="2" t="s">
        <v>4</v>
      </c>
      <c r="I19" s="2">
        <v>9</v>
      </c>
      <c r="J19" s="2">
        <v>1</v>
      </c>
    </row>
    <row r="20" spans="2:10" ht="17.25" customHeight="1" x14ac:dyDescent="0.25">
      <c r="B20" s="9"/>
      <c r="C20" s="3" t="s">
        <v>3</v>
      </c>
      <c r="D20" s="3">
        <v>7</v>
      </c>
      <c r="E20" s="3">
        <v>4</v>
      </c>
      <c r="G20" s="8"/>
      <c r="H20" s="2" t="s">
        <v>2</v>
      </c>
      <c r="I20" s="2">
        <v>3</v>
      </c>
      <c r="J20" s="2">
        <v>3</v>
      </c>
    </row>
    <row r="21" spans="2:10" ht="17.25" customHeight="1" x14ac:dyDescent="0.25">
      <c r="G21" s="8"/>
      <c r="H21" s="2" t="s">
        <v>1</v>
      </c>
      <c r="I21" s="2">
        <v>12</v>
      </c>
      <c r="J21" s="2">
        <v>1</v>
      </c>
    </row>
    <row r="22" spans="2:10" ht="17.25" customHeight="1" x14ac:dyDescent="0.25">
      <c r="G22" s="8"/>
      <c r="H22" s="2" t="s">
        <v>0</v>
      </c>
      <c r="I22" s="2">
        <v>10</v>
      </c>
      <c r="J22" s="2">
        <v>1</v>
      </c>
    </row>
  </sheetData>
  <mergeCells count="8">
    <mergeCell ref="G14:G17"/>
    <mergeCell ref="G18:G22"/>
    <mergeCell ref="B3:B6"/>
    <mergeCell ref="B7:B11"/>
    <mergeCell ref="B12:B17"/>
    <mergeCell ref="B18:B20"/>
    <mergeCell ref="G3:G8"/>
    <mergeCell ref="G9:G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4ED0-04F5-4675-AAB6-791BA8E10DAC}">
  <dimension ref="A2:H21"/>
  <sheetViews>
    <sheetView workbookViewId="0">
      <selection activeCell="B7" sqref="B7"/>
    </sheetView>
  </sheetViews>
  <sheetFormatPr defaultRowHeight="17.25" customHeight="1" x14ac:dyDescent="0.25"/>
  <cols>
    <col min="1" max="5" width="9" style="1"/>
    <col min="6" max="6" width="7.375" style="1" bestFit="1" customWidth="1"/>
    <col min="7" max="7" width="9.25" style="1" bestFit="1" customWidth="1"/>
    <col min="8" max="8" width="9" style="1"/>
    <col min="9" max="9" width="5.625" style="1" customWidth="1"/>
    <col min="10" max="16384" width="9" style="1"/>
  </cols>
  <sheetData>
    <row r="2" spans="1:8" ht="17.25" customHeight="1" x14ac:dyDescent="0.25">
      <c r="A2" s="17" t="s">
        <v>25</v>
      </c>
      <c r="B2" s="18" t="s">
        <v>26</v>
      </c>
      <c r="C2" s="10"/>
      <c r="E2" s="7" t="s">
        <v>25</v>
      </c>
      <c r="F2" s="7" t="s">
        <v>21</v>
      </c>
      <c r="G2" s="13" t="s">
        <v>20</v>
      </c>
      <c r="H2" s="13" t="s">
        <v>19</v>
      </c>
    </row>
    <row r="3" spans="1:8" ht="17.25" customHeight="1" x14ac:dyDescent="0.25">
      <c r="A3" s="11" t="s">
        <v>22</v>
      </c>
      <c r="B3" s="12">
        <f>SUMIF($E$3:$E$10,A3,$G$3:$G$10)+SUMIF($E$3:$E$10,A3,$H$3:$H$10)</f>
        <v>138</v>
      </c>
      <c r="E3" s="4" t="s">
        <v>22</v>
      </c>
      <c r="F3" s="4" t="s">
        <v>14</v>
      </c>
      <c r="G3" s="4">
        <f>B13+B14+B15</f>
        <v>27</v>
      </c>
      <c r="H3" s="4">
        <v>5</v>
      </c>
    </row>
    <row r="4" spans="1:8" ht="17.25" customHeight="1" x14ac:dyDescent="0.25">
      <c r="A4" s="11" t="s">
        <v>23</v>
      </c>
      <c r="B4" s="12">
        <f>SUMIF($E$3:$E$10,A4,$G$3:$G$10)+SUMIF($E$3:$E$10,A4,$H$3:$H$10)</f>
        <v>83</v>
      </c>
      <c r="E4" s="4" t="s">
        <v>22</v>
      </c>
      <c r="F4" s="4" t="s">
        <v>13</v>
      </c>
      <c r="G4" s="4">
        <f>B16+B17+B18</f>
        <v>50</v>
      </c>
      <c r="H4" s="4">
        <v>9</v>
      </c>
    </row>
    <row r="5" spans="1:8" ht="17.25" customHeight="1" x14ac:dyDescent="0.25">
      <c r="A5" s="11" t="s">
        <v>24</v>
      </c>
      <c r="B5" s="12">
        <f>SUMIF($E$3:$E$10,A5,$G$3:$G$10)+SUMIF($E$3:$E$10,A5,$H$3:$H$10)</f>
        <v>142</v>
      </c>
      <c r="E5" s="4" t="s">
        <v>22</v>
      </c>
      <c r="F5" s="4" t="s">
        <v>12</v>
      </c>
      <c r="G5" s="4">
        <f>B19+B20+B21</f>
        <v>33</v>
      </c>
      <c r="H5" s="4">
        <v>14</v>
      </c>
    </row>
    <row r="6" spans="1:8" ht="17.25" customHeight="1" x14ac:dyDescent="0.25">
      <c r="E6" s="4" t="s">
        <v>23</v>
      </c>
      <c r="F6" s="4" t="s">
        <v>11</v>
      </c>
      <c r="G6" s="4">
        <f>E13+E14+E15</f>
        <v>24</v>
      </c>
      <c r="H6" s="4">
        <v>11</v>
      </c>
    </row>
    <row r="7" spans="1:8" ht="17.25" customHeight="1" x14ac:dyDescent="0.25">
      <c r="A7" s="19" t="s">
        <v>32</v>
      </c>
      <c r="B7" s="19">
        <f>B3+B4+B5</f>
        <v>363</v>
      </c>
      <c r="E7" s="4" t="s">
        <v>23</v>
      </c>
      <c r="F7" s="4" t="s">
        <v>10</v>
      </c>
      <c r="G7" s="4">
        <f>E16+E17+E18</f>
        <v>34</v>
      </c>
      <c r="H7" s="4">
        <v>14</v>
      </c>
    </row>
    <row r="8" spans="1:8" ht="17.25" customHeight="1" x14ac:dyDescent="0.25">
      <c r="E8" s="4" t="s">
        <v>24</v>
      </c>
      <c r="F8" s="4" t="s">
        <v>9</v>
      </c>
      <c r="G8" s="4">
        <f>E19+E20+E21</f>
        <v>36</v>
      </c>
      <c r="H8" s="4">
        <v>8</v>
      </c>
    </row>
    <row r="9" spans="1:8" ht="17.25" customHeight="1" x14ac:dyDescent="0.25">
      <c r="E9" s="4" t="s">
        <v>24</v>
      </c>
      <c r="F9" s="4" t="s">
        <v>8</v>
      </c>
      <c r="G9" s="4">
        <f>H13+H14+H15</f>
        <v>39</v>
      </c>
      <c r="H9" s="4">
        <v>10</v>
      </c>
    </row>
    <row r="10" spans="1:8" ht="17.25" customHeight="1" x14ac:dyDescent="0.25">
      <c r="E10" s="4" t="s">
        <v>24</v>
      </c>
      <c r="F10" s="14" t="s">
        <v>31</v>
      </c>
      <c r="G10" s="4">
        <f>H16+H17+H18</f>
        <v>42</v>
      </c>
      <c r="H10" s="4">
        <v>7</v>
      </c>
    </row>
    <row r="12" spans="1:8" ht="17.25" customHeight="1" x14ac:dyDescent="0.25">
      <c r="A12" s="15" t="s">
        <v>27</v>
      </c>
      <c r="B12" s="15" t="s">
        <v>20</v>
      </c>
      <c r="D12" s="15" t="s">
        <v>27</v>
      </c>
      <c r="E12" s="15" t="s">
        <v>20</v>
      </c>
      <c r="G12" s="15" t="s">
        <v>27</v>
      </c>
      <c r="H12" s="15" t="s">
        <v>20</v>
      </c>
    </row>
    <row r="13" spans="1:8" ht="17.25" customHeight="1" x14ac:dyDescent="0.25">
      <c r="A13" s="16" t="s">
        <v>28</v>
      </c>
      <c r="B13" s="16">
        <v>5</v>
      </c>
      <c r="D13" s="16" t="s">
        <v>28</v>
      </c>
      <c r="E13" s="16">
        <v>4</v>
      </c>
      <c r="G13" s="16" t="s">
        <v>28</v>
      </c>
      <c r="H13" s="16">
        <v>12</v>
      </c>
    </row>
    <row r="14" spans="1:8" ht="17.25" customHeight="1" x14ac:dyDescent="0.25">
      <c r="A14" s="16" t="s">
        <v>29</v>
      </c>
      <c r="B14" s="16">
        <v>8</v>
      </c>
      <c r="D14" s="16" t="s">
        <v>29</v>
      </c>
      <c r="E14" s="16">
        <v>8</v>
      </c>
      <c r="G14" s="16" t="s">
        <v>29</v>
      </c>
      <c r="H14" s="16">
        <v>15</v>
      </c>
    </row>
    <row r="15" spans="1:8" ht="17.25" customHeight="1" x14ac:dyDescent="0.25">
      <c r="A15" s="16" t="s">
        <v>30</v>
      </c>
      <c r="B15" s="16">
        <v>14</v>
      </c>
      <c r="D15" s="16" t="s">
        <v>30</v>
      </c>
      <c r="E15" s="16">
        <v>12</v>
      </c>
      <c r="G15" s="16" t="s">
        <v>30</v>
      </c>
      <c r="H15" s="16">
        <v>12</v>
      </c>
    </row>
    <row r="16" spans="1:8" ht="17.25" customHeight="1" x14ac:dyDescent="0.25">
      <c r="A16" s="16" t="s">
        <v>28</v>
      </c>
      <c r="B16" s="16">
        <v>12</v>
      </c>
      <c r="D16" s="16" t="s">
        <v>28</v>
      </c>
      <c r="E16" s="16">
        <v>6</v>
      </c>
      <c r="G16" s="16" t="s">
        <v>28</v>
      </c>
      <c r="H16" s="16">
        <v>10</v>
      </c>
    </row>
    <row r="17" spans="1:8" ht="17.25" customHeight="1" x14ac:dyDescent="0.25">
      <c r="A17" s="16" t="s">
        <v>29</v>
      </c>
      <c r="B17" s="16">
        <v>16</v>
      </c>
      <c r="D17" s="16" t="s">
        <v>29</v>
      </c>
      <c r="E17" s="16">
        <v>10</v>
      </c>
      <c r="G17" s="16" t="s">
        <v>29</v>
      </c>
      <c r="H17" s="16">
        <v>12</v>
      </c>
    </row>
    <row r="18" spans="1:8" ht="17.25" customHeight="1" x14ac:dyDescent="0.25">
      <c r="A18" s="16" t="s">
        <v>30</v>
      </c>
      <c r="B18" s="16">
        <v>22</v>
      </c>
      <c r="D18" s="16" t="s">
        <v>30</v>
      </c>
      <c r="E18" s="16">
        <v>18</v>
      </c>
      <c r="G18" s="16" t="s">
        <v>30</v>
      </c>
      <c r="H18" s="16">
        <v>20</v>
      </c>
    </row>
    <row r="19" spans="1:8" ht="17.25" customHeight="1" x14ac:dyDescent="0.25">
      <c r="A19" s="16" t="s">
        <v>28</v>
      </c>
      <c r="B19" s="16">
        <v>6</v>
      </c>
      <c r="D19" s="16" t="s">
        <v>28</v>
      </c>
      <c r="E19" s="16">
        <v>10</v>
      </c>
    </row>
    <row r="20" spans="1:8" ht="17.25" customHeight="1" x14ac:dyDescent="0.25">
      <c r="A20" s="16" t="s">
        <v>29</v>
      </c>
      <c r="B20" s="16">
        <v>10</v>
      </c>
      <c r="D20" s="16" t="s">
        <v>29</v>
      </c>
      <c r="E20" s="16">
        <v>12</v>
      </c>
    </row>
    <row r="21" spans="1:8" ht="17.25" customHeight="1" x14ac:dyDescent="0.25">
      <c r="A21" s="16" t="s">
        <v>30</v>
      </c>
      <c r="B21" s="16">
        <v>17</v>
      </c>
      <c r="D21" s="16" t="s">
        <v>30</v>
      </c>
      <c r="E21" s="16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各課程學員人數統計</vt:lpstr>
      <vt:lpstr>各中心人數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mermaid</dc:creator>
  <cp:lastModifiedBy>王仲麒</cp:lastModifiedBy>
  <dcterms:created xsi:type="dcterms:W3CDTF">2021-04-06T17:08:29Z</dcterms:created>
  <dcterms:modified xsi:type="dcterms:W3CDTF">2021-04-08T03:18:07Z</dcterms:modified>
</cp:coreProperties>
</file>