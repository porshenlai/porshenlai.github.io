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hidePivotFieldList="1"/>
  <xr:revisionPtr revIDLastSave="0" documentId="13_ncr:1_{DC39639B-06F4-42CA-BE30-4C8C41CD320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銷售量排行" sheetId="11" r:id="rId1"/>
    <sheet name="獎金分配" sheetId="16" r:id="rId2"/>
    <sheet name="新書出版" sheetId="12" r:id="rId3"/>
    <sheet name="年銷售額" sheetId="13" r:id="rId4"/>
    <sheet name="年銷售額分析" sheetId="17" r:id="rId5"/>
    <sheet name="年銷售額分析圖" sheetId="18" r:id="rId6"/>
    <sheet name="銷售預估" sheetId="14" r:id="rId7"/>
  </sheets>
  <definedNames>
    <definedName name="_xlnm._FilterDatabase" localSheetId="2" hidden="1">新書出版!$A$1:$E$59</definedName>
    <definedName name="_xlcn.WorksheetConnection_工作表3B2D21" hidden="1">銷售預估!$B$2:$D$15</definedName>
    <definedName name="前兩年銷售金額">年銷售額!$A$3:$G$151</definedName>
    <definedName name="預估成長率">銷售預估!$B$3</definedName>
    <definedName name="暢銷排行">銷售量排行!$A$4:$G$167</definedName>
  </definedNames>
  <calcPr calcId="191029"/>
  <pivotCaches>
    <pivotCache cacheId="4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範圍" name="範圍" connection="WorksheetConnection_工作表3!$B$2:$D$2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4" l="1"/>
  <c r="B14" i="14"/>
  <c r="B13" i="14"/>
  <c r="C13" i="14"/>
  <c r="E6" i="14"/>
  <c r="E7" i="14"/>
  <c r="E8" i="14"/>
  <c r="E9" i="14"/>
  <c r="E10" i="14"/>
  <c r="E11" i="14"/>
  <c r="E12" i="14"/>
  <c r="E5" i="14"/>
  <c r="E14" i="14" s="1"/>
  <c r="D6" i="14"/>
  <c r="D7" i="14"/>
  <c r="D8" i="14"/>
  <c r="D9" i="14"/>
  <c r="D10" i="14"/>
  <c r="D11" i="14"/>
  <c r="D12" i="14"/>
  <c r="D5" i="14"/>
  <c r="D14" i="14" s="1"/>
  <c r="D13" i="14" l="1"/>
  <c r="E1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資料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工作表3!$B$2:$D$21" type="102" refreshedVersion="6" minRefreshableVersion="5">
    <extLst>
      <ext xmlns:x15="http://schemas.microsoft.com/office/spreadsheetml/2010/11/main" uri="{DE250136-89BD-433C-8126-D09CA5730AF9}">
        <x15:connection id="範圍">
          <x15:rangePr sourceName="_xlcn.WorksheetConnection_工作表3B2D21"/>
        </x15:connection>
      </ext>
    </extLst>
  </connection>
</connections>
</file>

<file path=xl/sharedStrings.xml><?xml version="1.0" encoding="utf-8"?>
<sst xmlns="http://schemas.openxmlformats.org/spreadsheetml/2006/main" count="835" uniqueCount="253">
  <si>
    <t>AR125</t>
  </si>
  <si>
    <t>CI231</t>
  </si>
  <si>
    <t>CI209</t>
  </si>
  <si>
    <t>CI223</t>
  </si>
  <si>
    <t>CI250</t>
  </si>
  <si>
    <t>CI293</t>
  </si>
  <si>
    <t>CM384</t>
  </si>
  <si>
    <t>CM332</t>
  </si>
  <si>
    <t>CM329</t>
  </si>
  <si>
    <t>HM448</t>
  </si>
  <si>
    <t>PN510</t>
  </si>
  <si>
    <t>PN517</t>
  </si>
  <si>
    <t>ST631</t>
  </si>
  <si>
    <t>ST627</t>
  </si>
  <si>
    <t>AR195</t>
  </si>
  <si>
    <t>CI269</t>
  </si>
  <si>
    <t>CM398</t>
  </si>
  <si>
    <t>HM410</t>
  </si>
  <si>
    <t>PN511</t>
  </si>
  <si>
    <t>CI273</t>
  </si>
  <si>
    <t>CM342</t>
  </si>
  <si>
    <t>HM454</t>
  </si>
  <si>
    <t>PN522</t>
  </si>
  <si>
    <t>ST670</t>
  </si>
  <si>
    <t>AR135</t>
  </si>
  <si>
    <t>CI220</t>
  </si>
  <si>
    <t>CM376</t>
  </si>
  <si>
    <t>PN501</t>
  </si>
  <si>
    <t>ST637</t>
  </si>
  <si>
    <t>CI287</t>
  </si>
  <si>
    <t>CM396</t>
  </si>
  <si>
    <t>HM442</t>
  </si>
  <si>
    <t>ST651</t>
  </si>
  <si>
    <t>AR133</t>
  </si>
  <si>
    <t>CI216</t>
  </si>
  <si>
    <t>CM349</t>
  </si>
  <si>
    <t>HM455</t>
  </si>
  <si>
    <t>ST630</t>
  </si>
  <si>
    <t>CI261</t>
  </si>
  <si>
    <t>CM330</t>
  </si>
  <si>
    <t>HM438</t>
  </si>
  <si>
    <t>AR138</t>
  </si>
  <si>
    <t>CI221</t>
  </si>
  <si>
    <t>CM341</t>
  </si>
  <si>
    <t>PN506</t>
  </si>
  <si>
    <t>ST640</t>
  </si>
  <si>
    <t>AR152</t>
  </si>
  <si>
    <t>CI263</t>
  </si>
  <si>
    <t>CM303</t>
  </si>
  <si>
    <t>HM440</t>
  </si>
  <si>
    <t>PN502</t>
  </si>
  <si>
    <t>ST661</t>
  </si>
  <si>
    <t>CM347</t>
  </si>
  <si>
    <t>HM408</t>
  </si>
  <si>
    <t>ST688</t>
  </si>
  <si>
    <t>CI268</t>
  </si>
  <si>
    <t>HM469</t>
  </si>
  <si>
    <t>AR180</t>
  </si>
  <si>
    <t>CM324</t>
  </si>
  <si>
    <t>HM420</t>
  </si>
  <si>
    <t>ST642</t>
  </si>
  <si>
    <t>AR128</t>
  </si>
  <si>
    <t>CM339</t>
  </si>
  <si>
    <t>HM446</t>
  </si>
  <si>
    <t>AR156</t>
  </si>
  <si>
    <t>CM358</t>
  </si>
  <si>
    <t>ST687</t>
  </si>
  <si>
    <t>CI243</t>
  </si>
  <si>
    <t>CM314</t>
  </si>
  <si>
    <t>CI291</t>
  </si>
  <si>
    <t>CM333</t>
  </si>
  <si>
    <t>CM319</t>
  </si>
  <si>
    <t>ST674</t>
  </si>
  <si>
    <t>CI286</t>
  </si>
  <si>
    <t>BA771</t>
  </si>
  <si>
    <t>ST660</t>
  </si>
  <si>
    <t>CI288</t>
  </si>
  <si>
    <t>CM325</t>
  </si>
  <si>
    <t>BA735</t>
  </si>
  <si>
    <t>CM351</t>
  </si>
  <si>
    <t>BA749</t>
  </si>
  <si>
    <t>CI239</t>
  </si>
  <si>
    <t>BA745</t>
  </si>
  <si>
    <t>CI218</t>
  </si>
  <si>
    <t>BA764</t>
  </si>
  <si>
    <t>CI272</t>
  </si>
  <si>
    <t>BA740</t>
  </si>
  <si>
    <t>CI228</t>
  </si>
  <si>
    <t>BA797</t>
  </si>
  <si>
    <t>BA759</t>
  </si>
  <si>
    <t>BA772</t>
  </si>
  <si>
    <t>CI289</t>
  </si>
  <si>
    <t>BA713</t>
  </si>
  <si>
    <t>CI238</t>
  </si>
  <si>
    <t>BA748</t>
  </si>
  <si>
    <t>BA768</t>
  </si>
  <si>
    <t>BA777</t>
  </si>
  <si>
    <t>BA778</t>
  </si>
  <si>
    <t>CM345</t>
  </si>
  <si>
    <t>AR166</t>
  </si>
  <si>
    <t>CI245</t>
  </si>
  <si>
    <t>CM320</t>
  </si>
  <si>
    <t>ST673</t>
  </si>
  <si>
    <t>AR185</t>
  </si>
  <si>
    <t>CM361</t>
  </si>
  <si>
    <t>HM467</t>
  </si>
  <si>
    <t>ST671</t>
  </si>
  <si>
    <t>AR143</t>
  </si>
  <si>
    <t>CI235</t>
  </si>
  <si>
    <t>CM336</t>
  </si>
  <si>
    <t>PN516</t>
  </si>
  <si>
    <t>ST647</t>
  </si>
  <si>
    <t>CI290</t>
  </si>
  <si>
    <t>CM385</t>
  </si>
  <si>
    <t>ST632</t>
  </si>
  <si>
    <t>CI202</t>
  </si>
  <si>
    <t>CM353</t>
  </si>
  <si>
    <t>ST626</t>
  </si>
  <si>
    <t>CI299</t>
  </si>
  <si>
    <t>CM308</t>
  </si>
  <si>
    <t>PN504</t>
  </si>
  <si>
    <t>CI201</t>
  </si>
  <si>
    <t>CM360</t>
  </si>
  <si>
    <t>HM404</t>
  </si>
  <si>
    <t>ST672</t>
  </si>
  <si>
    <t>CM359</t>
  </si>
  <si>
    <t>HM417</t>
  </si>
  <si>
    <t>PN514</t>
  </si>
  <si>
    <t>ST643</t>
  </si>
  <si>
    <t>CI217</t>
  </si>
  <si>
    <t>CM348</t>
  </si>
  <si>
    <t>HM439</t>
  </si>
  <si>
    <t>ST697</t>
  </si>
  <si>
    <t>AR155</t>
  </si>
  <si>
    <t>CM300</t>
  </si>
  <si>
    <t>ST656</t>
  </si>
  <si>
    <t>AR120</t>
  </si>
  <si>
    <t>CI240</t>
  </si>
  <si>
    <t>HM403</t>
  </si>
  <si>
    <t>ST644</t>
  </si>
  <si>
    <t>CI283</t>
  </si>
  <si>
    <t>CM346</t>
  </si>
  <si>
    <t>CM379</t>
  </si>
  <si>
    <t>CM399</t>
  </si>
  <si>
    <t>BA782</t>
  </si>
  <si>
    <t>ST628</t>
  </si>
  <si>
    <t>CM312</t>
  </si>
  <si>
    <t>BA793</t>
  </si>
  <si>
    <t>CI210</t>
  </si>
  <si>
    <t>BA775</t>
  </si>
  <si>
    <t>ST665</t>
  </si>
  <si>
    <t>CM310</t>
  </si>
  <si>
    <t>ST625</t>
  </si>
  <si>
    <t>BA728</t>
  </si>
  <si>
    <t>BA747</t>
  </si>
  <si>
    <t>CI266</t>
  </si>
  <si>
    <t>CM397</t>
  </si>
  <si>
    <t>CI226</t>
  </si>
  <si>
    <t>CI256</t>
  </si>
  <si>
    <t>BA790</t>
  </si>
  <si>
    <t>CI247</t>
  </si>
  <si>
    <t>BA786</t>
  </si>
  <si>
    <t>BA739</t>
  </si>
  <si>
    <t>BA731</t>
  </si>
  <si>
    <t>CI278</t>
  </si>
  <si>
    <t>BA722</t>
  </si>
  <si>
    <t>BA724</t>
  </si>
  <si>
    <t>BA796</t>
  </si>
  <si>
    <t>BA799</t>
  </si>
  <si>
    <t>BA752</t>
  </si>
  <si>
    <t>圖書類型</t>
  </si>
  <si>
    <t>藝術</t>
  </si>
  <si>
    <t>資訊</t>
  </si>
  <si>
    <t>漫畫</t>
  </si>
  <si>
    <t>人文</t>
  </si>
  <si>
    <t>詩集</t>
  </si>
  <si>
    <t>小說</t>
  </si>
  <si>
    <t>TR738</t>
  </si>
  <si>
    <t>TR747</t>
  </si>
  <si>
    <t>TR799</t>
  </si>
  <si>
    <t>TR769</t>
  </si>
  <si>
    <t>TR796</t>
  </si>
  <si>
    <t>TR703</t>
  </si>
  <si>
    <t>TR736</t>
  </si>
  <si>
    <t>TR718</t>
  </si>
  <si>
    <t>TR756</t>
  </si>
  <si>
    <t>TR711</t>
  </si>
  <si>
    <t>TR733</t>
  </si>
  <si>
    <t>TR785</t>
  </si>
  <si>
    <t>TR783</t>
  </si>
  <si>
    <t>TR775</t>
  </si>
  <si>
    <t>TR760</t>
  </si>
  <si>
    <t>TR709</t>
  </si>
  <si>
    <t>TR737</t>
  </si>
  <si>
    <t>TR745</t>
  </si>
  <si>
    <t>TR764</t>
  </si>
  <si>
    <t>商業</t>
  </si>
  <si>
    <t>旅遊</t>
  </si>
  <si>
    <t>銷售量</t>
  </si>
  <si>
    <t>定價</t>
  </si>
  <si>
    <t>定價</t>
    <phoneticPr fontId="3" type="noConversion"/>
  </si>
  <si>
    <t>版次</t>
  </si>
  <si>
    <t>排名</t>
  </si>
  <si>
    <t>類型排名</t>
  </si>
  <si>
    <t>國緯圖書銷售排行</t>
    <phoneticPr fontId="3" type="noConversion"/>
  </si>
  <si>
    <t>編號</t>
  </si>
  <si>
    <t>TR797</t>
  </si>
  <si>
    <t>TR798</t>
  </si>
  <si>
    <t>美食</t>
  </si>
  <si>
    <t>FD101</t>
  </si>
  <si>
    <t>FD104</t>
  </si>
  <si>
    <t>FD107</t>
  </si>
  <si>
    <t>FD109</t>
  </si>
  <si>
    <t>FD108</t>
  </si>
  <si>
    <t>FD112</t>
  </si>
  <si>
    <t>FD113</t>
  </si>
  <si>
    <t>FD114</t>
  </si>
  <si>
    <t>FD116</t>
  </si>
  <si>
    <t>FD118</t>
  </si>
  <si>
    <t>FD121</t>
  </si>
  <si>
    <t>FD122</t>
  </si>
  <si>
    <t>FD123</t>
  </si>
  <si>
    <t>國緯圖書五月份新出版</t>
    <phoneticPr fontId="3" type="noConversion"/>
  </si>
  <si>
    <t>國緯圖書公司2021年5月</t>
    <phoneticPr fontId="3" type="noConversion"/>
  </si>
  <si>
    <t>發行日期</t>
    <phoneticPr fontId="3" type="noConversion"/>
  </si>
  <si>
    <t>初版數量</t>
    <phoneticPr fontId="3" type="noConversion"/>
  </si>
  <si>
    <t>國緯圖書公司2020年</t>
    <phoneticPr fontId="3" type="noConversion"/>
  </si>
  <si>
    <t>國緯圖書年營業額</t>
    <phoneticPr fontId="3" type="noConversion"/>
  </si>
  <si>
    <t>國緯圖書公司2021年</t>
    <phoneticPr fontId="3" type="noConversion"/>
  </si>
  <si>
    <t>總計</t>
  </si>
  <si>
    <t>去年銷售量</t>
    <phoneticPr fontId="3" type="noConversion"/>
  </si>
  <si>
    <t>去年銷售金額</t>
    <phoneticPr fontId="3" type="noConversion"/>
  </si>
  <si>
    <t>國緯圖書銷售預估</t>
    <phoneticPr fontId="3" type="noConversion"/>
  </si>
  <si>
    <t>國緯圖書公司</t>
    <phoneticPr fontId="3" type="noConversion"/>
  </si>
  <si>
    <t>預估成長率：</t>
    <phoneticPr fontId="3" type="noConversion"/>
  </si>
  <si>
    <t>預估今年銷售量</t>
    <phoneticPr fontId="3" type="noConversion"/>
  </si>
  <si>
    <t>預估今年銷售金額</t>
    <phoneticPr fontId="3" type="noConversion"/>
  </si>
  <si>
    <t>平均值</t>
    <phoneticPr fontId="3" type="noConversion"/>
  </si>
  <si>
    <t>總銷售金額</t>
    <phoneticPr fontId="3" type="noConversion"/>
  </si>
  <si>
    <t>總銷售量</t>
    <phoneticPr fontId="3" type="noConversion"/>
  </si>
  <si>
    <t>圖書分類</t>
    <phoneticPr fontId="3" type="noConversion"/>
  </si>
  <si>
    <t>獎金</t>
    <phoneticPr fontId="3" type="noConversion"/>
  </si>
  <si>
    <t>上半年</t>
    <phoneticPr fontId="3" type="noConversion"/>
  </si>
  <si>
    <t>下半年</t>
    <phoneticPr fontId="3" type="noConversion"/>
  </si>
  <si>
    <t>總銷售金額級距</t>
    <phoneticPr fontId="3" type="noConversion"/>
  </si>
  <si>
    <t>國緯圖書年終銷售獎金分配</t>
    <phoneticPr fontId="3" type="noConversion"/>
  </si>
  <si>
    <t>銷售獎金分配表</t>
    <phoneticPr fontId="3" type="noConversion"/>
  </si>
  <si>
    <t>國緯圖書</t>
    <phoneticPr fontId="3" type="noConversion"/>
  </si>
  <si>
    <t>年營業額分析</t>
    <phoneticPr fontId="3" type="noConversion"/>
  </si>
  <si>
    <t>前年銷售金額</t>
    <phoneticPr fontId="3" type="noConversion"/>
  </si>
  <si>
    <t>前年總銷售金額</t>
  </si>
  <si>
    <t>去年總銷售金額</t>
  </si>
  <si>
    <t>上下半年度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</si>
</sst>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"/>
    <numFmt numFmtId="177" formatCode="#,##0_ "/>
  </numFmts>
  <fonts count="12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8" tint="-0.249977111117893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theme="8" tint="-0.249977111117893"/>
      <name val="微軟正黑體"/>
      <family val="2"/>
      <charset val="136"/>
    </font>
    <font>
      <b/>
      <sz val="11"/>
      <color theme="8" tint="-0.499984740745262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theme="8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2" xfId="0" applyFont="1" applyBorder="1"/>
    <xf numFmtId="14" fontId="1" fillId="0" borderId="2" xfId="0" applyNumberFormat="1" applyFont="1" applyBorder="1"/>
    <xf numFmtId="0" fontId="5" fillId="3" borderId="2" xfId="0" applyFont="1" applyFill="1" applyBorder="1"/>
    <xf numFmtId="0" fontId="5" fillId="3" borderId="2" xfId="0" applyFont="1" applyFill="1" applyBorder="1" applyAlignment="1">
      <alignment horizontal="right"/>
    </xf>
    <xf numFmtId="0" fontId="7" fillId="4" borderId="0" xfId="0" applyFont="1" applyFill="1"/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176" fontId="7" fillId="4" borderId="0" xfId="0" applyNumberFormat="1" applyFont="1" applyFill="1"/>
    <xf numFmtId="176" fontId="7" fillId="0" borderId="0" xfId="0" applyNumberFormat="1" applyFont="1"/>
    <xf numFmtId="0" fontId="5" fillId="0" borderId="0" xfId="0" applyFont="1"/>
    <xf numFmtId="9" fontId="1" fillId="5" borderId="0" xfId="0" applyNumberFormat="1" applyFont="1" applyFill="1"/>
    <xf numFmtId="177" fontId="1" fillId="0" borderId="0" xfId="0" applyNumberFormat="1" applyFont="1"/>
    <xf numFmtId="176" fontId="1" fillId="0" borderId="0" xfId="0" applyNumberFormat="1" applyFont="1"/>
    <xf numFmtId="0" fontId="1" fillId="0" borderId="0" xfId="0" pivotButton="1" applyFont="1"/>
    <xf numFmtId="0" fontId="5" fillId="6" borderId="4" xfId="0" applyFont="1" applyFill="1" applyBorder="1"/>
    <xf numFmtId="0" fontId="5" fillId="6" borderId="4" xfId="0" applyFont="1" applyFill="1" applyBorder="1" applyAlignment="1">
      <alignment horizontal="right"/>
    </xf>
    <xf numFmtId="0" fontId="11" fillId="2" borderId="0" xfId="0" applyFont="1" applyFill="1"/>
    <xf numFmtId="0" fontId="11" fillId="0" borderId="0" xfId="0" applyFont="1"/>
    <xf numFmtId="0" fontId="9" fillId="0" borderId="0" xfId="0" applyFont="1"/>
    <xf numFmtId="0" fontId="6" fillId="0" borderId="7" xfId="0" applyFont="1" applyBorder="1"/>
    <xf numFmtId="0" fontId="6" fillId="0" borderId="7" xfId="0" applyFont="1" applyBorder="1" applyAlignment="1">
      <alignment horizontal="right"/>
    </xf>
    <xf numFmtId="176" fontId="11" fillId="2" borderId="7" xfId="0" applyNumberFormat="1" applyFont="1" applyFill="1" applyBorder="1"/>
    <xf numFmtId="176" fontId="11" fillId="0" borderId="0" xfId="0" applyNumberFormat="1" applyFont="1"/>
    <xf numFmtId="176" fontId="11" fillId="2" borderId="0" xfId="0" applyNumberFormat="1" applyFont="1" applyFill="1"/>
    <xf numFmtId="176" fontId="11" fillId="2" borderId="6" xfId="0" applyNumberFormat="1" applyFont="1" applyFill="1" applyBorder="1"/>
    <xf numFmtId="0" fontId="5" fillId="0" borderId="5" xfId="0" applyFont="1" applyBorder="1"/>
    <xf numFmtId="177" fontId="5" fillId="0" borderId="5" xfId="0" applyNumberFormat="1" applyFont="1" applyBorder="1"/>
    <xf numFmtId="176" fontId="5" fillId="0" borderId="5" xfId="0" applyNumberFormat="1" applyFont="1" applyBorder="1"/>
    <xf numFmtId="0" fontId="10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9" fillId="3" borderId="3" xfId="0" applyFont="1" applyFill="1" applyBorder="1" applyAlignment="1">
      <alignment horizontal="center"/>
    </xf>
  </cellXfs>
  <cellStyles count="1">
    <cellStyle name="一般" xfId="0" builtinId="0"/>
  </cellStyles>
  <dxfs count="8">
    <dxf>
      <numFmt numFmtId="176" formatCode="&quot;$&quot;#,##0"/>
    </dxf>
    <dxf>
      <numFmt numFmtId="176" formatCode="&quot;$&quot;#,##0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</dxfs>
  <tableStyles count="0" defaultTableStyle="TableStyleMedium2" defaultPivotStyle="PivotStyleLight16"/>
  <colors>
    <mruColors>
      <color rgb="FF1EFF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[F2P5_國緯圖書.xlsx]年銷售額分析!樞紐分析表6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年銷售額分析!$B$3</c:f>
              <c:strCache>
                <c:ptCount val="1"/>
                <c:pt idx="0">
                  <c:v>前年總銷售金額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年銷售額分析!$A$4:$A$12</c:f>
              <c:strCache>
                <c:ptCount val="8"/>
                <c:pt idx="0">
                  <c:v>人文</c:v>
                </c:pt>
                <c:pt idx="1">
                  <c:v>小說</c:v>
                </c:pt>
                <c:pt idx="2">
                  <c:v>旅遊</c:v>
                </c:pt>
                <c:pt idx="3">
                  <c:v>商業</c:v>
                </c:pt>
                <c:pt idx="4">
                  <c:v>詩集</c:v>
                </c:pt>
                <c:pt idx="5">
                  <c:v>資訊</c:v>
                </c:pt>
                <c:pt idx="6">
                  <c:v>漫畫</c:v>
                </c:pt>
                <c:pt idx="7">
                  <c:v>藝術</c:v>
                </c:pt>
              </c:strCache>
            </c:strRef>
          </c:cat>
          <c:val>
            <c:numRef>
              <c:f>年銷售額分析!$B$4:$B$12</c:f>
              <c:numCache>
                <c:formatCode>"$"#,##0</c:formatCode>
                <c:ptCount val="8"/>
                <c:pt idx="0">
                  <c:v>2552567</c:v>
                </c:pt>
                <c:pt idx="1">
                  <c:v>13432947</c:v>
                </c:pt>
                <c:pt idx="2">
                  <c:v>37848078</c:v>
                </c:pt>
                <c:pt idx="3">
                  <c:v>23373921</c:v>
                </c:pt>
                <c:pt idx="4">
                  <c:v>1939297</c:v>
                </c:pt>
                <c:pt idx="5">
                  <c:v>87988238</c:v>
                </c:pt>
                <c:pt idx="6">
                  <c:v>17691079</c:v>
                </c:pt>
                <c:pt idx="7">
                  <c:v>2671784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2-4FC9-B773-C062BE7ECA43}"/>
            </c:ext>
          </c:extLst>
        </c:ser>
        <c:ser>
          <c:idx val="1"/>
          <c:order val="1"/>
          <c:tx>
            <c:strRef>
              <c:f>年銷售額分析!$C$3</c:f>
              <c:strCache>
                <c:ptCount val="1"/>
                <c:pt idx="0">
                  <c:v>去年總銷售金額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年銷售額分析!$A$4:$A$12</c:f>
              <c:strCache>
                <c:ptCount val="8"/>
                <c:pt idx="0">
                  <c:v>人文</c:v>
                </c:pt>
                <c:pt idx="1">
                  <c:v>小說</c:v>
                </c:pt>
                <c:pt idx="2">
                  <c:v>旅遊</c:v>
                </c:pt>
                <c:pt idx="3">
                  <c:v>商業</c:v>
                </c:pt>
                <c:pt idx="4">
                  <c:v>詩集</c:v>
                </c:pt>
                <c:pt idx="5">
                  <c:v>資訊</c:v>
                </c:pt>
                <c:pt idx="6">
                  <c:v>漫畫</c:v>
                </c:pt>
                <c:pt idx="7">
                  <c:v>藝術</c:v>
                </c:pt>
              </c:strCache>
            </c:strRef>
          </c:cat>
          <c:val>
            <c:numRef>
              <c:f>年銷售額分析!$C$4:$C$12</c:f>
              <c:numCache>
                <c:formatCode>"$"#,##0</c:formatCode>
                <c:ptCount val="8"/>
                <c:pt idx="0">
                  <c:v>2613748</c:v>
                </c:pt>
                <c:pt idx="1">
                  <c:v>13833287</c:v>
                </c:pt>
                <c:pt idx="2">
                  <c:v>36211384</c:v>
                </c:pt>
                <c:pt idx="3">
                  <c:v>23730674</c:v>
                </c:pt>
                <c:pt idx="4">
                  <c:v>1884713</c:v>
                </c:pt>
                <c:pt idx="5">
                  <c:v>79788721</c:v>
                </c:pt>
                <c:pt idx="6">
                  <c:v>17294853</c:v>
                </c:pt>
                <c:pt idx="7">
                  <c:v>2620708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D2-4FC9-B773-C062BE7EC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shape val="box"/>
        <c:axId val="176946703"/>
        <c:axId val="176924655"/>
        <c:axId val="0"/>
      </c:bar3DChart>
      <c:catAx>
        <c:axId val="1769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924655"/>
        <c:crosses val="autoZero"/>
        <c:auto val="1"/>
        <c:lblAlgn val="ctr"/>
        <c:lblOffset val="100"/>
        <c:noMultiLvlLbl val="0"/>
      </c:catAx>
      <c:valAx>
        <c:axId val="1769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FC92A1-D0C9-4FB7-9BA9-F442F26FE765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1A20358-7E35-4760-A564-B0BFB3321C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4262.851508796295" createdVersion="6" refreshedVersion="6" minRefreshableVersion="3" recordCount="148" xr:uid="{C3F1FB9B-C292-48C2-86D3-2D53420DCB85}">
  <cacheSource type="worksheet">
    <worksheetSource name="前兩年銷售金額"/>
  </cacheSource>
  <cacheFields count="7">
    <cacheField name="編號" numFmtId="0">
      <sharedItems/>
    </cacheField>
    <cacheField name="版次" numFmtId="0">
      <sharedItems containsSemiMixedTypes="0" containsString="0" containsNumber="1" containsInteger="1" minValue="1" maxValue="6"/>
    </cacheField>
    <cacheField name="圖書類型" numFmtId="0">
      <sharedItems count="8">
        <s v="藝術"/>
        <s v="商業"/>
        <s v="資訊"/>
        <s v="漫畫"/>
        <s v="人文"/>
        <s v="詩集"/>
        <s v="小說"/>
        <s v="旅遊"/>
      </sharedItems>
    </cacheField>
    <cacheField name="去年銷售量" numFmtId="0">
      <sharedItems containsSemiMixedTypes="0" containsString="0" containsNumber="1" containsInteger="1" minValue="86" maxValue="15796"/>
    </cacheField>
    <cacheField name="定價" numFmtId="176">
      <sharedItems containsSemiMixedTypes="0" containsString="0" containsNumber="1" containsInteger="1" minValue="120" maxValue="1420"/>
    </cacheField>
    <cacheField name="前年銷售金額" numFmtId="176">
      <sharedItems containsSemiMixedTypes="0" containsString="0" containsNumber="1" containsInteger="1" minValue="14655" maxValue="8824057"/>
    </cacheField>
    <cacheField name="去年銷售金額" numFmtId="176">
      <sharedItems containsSemiMixedTypes="0" containsString="0" containsNumber="1" containsInteger="1" minValue="17200" maxValue="709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AR138"/>
    <n v="1"/>
    <x v="0"/>
    <n v="892"/>
    <n v="525"/>
    <n v="455120"/>
    <n v="397832"/>
  </r>
  <r>
    <s v="AR143"/>
    <n v="1"/>
    <x v="0"/>
    <n v="331"/>
    <n v="650"/>
    <n v="158412"/>
    <n v="182712"/>
  </r>
  <r>
    <s v="AR152"/>
    <n v="1"/>
    <x v="0"/>
    <n v="345"/>
    <n v="385"/>
    <n v="145710"/>
    <n v="132825"/>
  </r>
  <r>
    <s v="AR155"/>
    <n v="1"/>
    <x v="0"/>
    <n v="331"/>
    <n v="655"/>
    <n v="251928"/>
    <n v="216805"/>
  </r>
  <r>
    <s v="AR156"/>
    <n v="1"/>
    <x v="0"/>
    <n v="777"/>
    <n v="525"/>
    <n v="283818"/>
    <n v="346542"/>
  </r>
  <r>
    <s v="AR166"/>
    <n v="1"/>
    <x v="0"/>
    <n v="259"/>
    <n v="1420"/>
    <n v="221772"/>
    <n v="275835"/>
  </r>
  <r>
    <s v="AR180"/>
    <n v="1"/>
    <x v="0"/>
    <n v="907"/>
    <n v="199"/>
    <n v="125954"/>
    <n v="135143"/>
  </r>
  <r>
    <s v="AR185"/>
    <n v="1"/>
    <x v="0"/>
    <n v="849"/>
    <n v="425"/>
    <n v="210434"/>
    <n v="259794"/>
  </r>
  <r>
    <s v="AR195"/>
    <n v="1"/>
    <x v="0"/>
    <n v="820"/>
    <n v="865"/>
    <n v="818636"/>
    <n v="673220"/>
  </r>
  <r>
    <s v="BA739"/>
    <n v="1"/>
    <x v="1"/>
    <n v="1684"/>
    <n v="405"/>
    <n v="770814"/>
    <n v="646656"/>
  </r>
  <r>
    <s v="BA740"/>
    <n v="2"/>
    <x v="1"/>
    <n v="6451"/>
    <n v="370"/>
    <n v="2191147"/>
    <n v="2148183"/>
  </r>
  <r>
    <s v="BA745"/>
    <n v="1"/>
    <x v="1"/>
    <n v="3182"/>
    <n v="340"/>
    <n v="858580"/>
    <n v="865504"/>
  </r>
  <r>
    <s v="BA747"/>
    <n v="1"/>
    <x v="1"/>
    <n v="2491"/>
    <n v="630"/>
    <n v="1203415"/>
    <n v="1332685"/>
  </r>
  <r>
    <s v="BA748"/>
    <n v="1"/>
    <x v="1"/>
    <n v="1022"/>
    <n v="520"/>
    <n v="368319"/>
    <n v="419020"/>
  </r>
  <r>
    <s v="BA749"/>
    <n v="1"/>
    <x v="1"/>
    <n v="2030"/>
    <n v="605"/>
    <n v="1047712"/>
    <n v="968310"/>
  </r>
  <r>
    <s v="BA752"/>
    <n v="1"/>
    <x v="1"/>
    <n v="2102"/>
    <n v="255"/>
    <n v="433904"/>
    <n v="384666"/>
  </r>
  <r>
    <s v="BA759"/>
    <n v="2"/>
    <x v="1"/>
    <n v="6134"/>
    <n v="520"/>
    <n v="1993587"/>
    <n v="2294116"/>
  </r>
  <r>
    <s v="BA764"/>
    <n v="1"/>
    <x v="1"/>
    <n v="4377"/>
    <n v="475"/>
    <n v="1493315"/>
    <n v="1868979"/>
  </r>
  <r>
    <s v="BA768"/>
    <n v="1"/>
    <x v="1"/>
    <n v="2851"/>
    <n v="255"/>
    <n v="774081"/>
    <n v="615816"/>
  </r>
  <r>
    <s v="BA771"/>
    <n v="1"/>
    <x v="1"/>
    <n v="921"/>
    <n v="265"/>
    <n v="233083"/>
    <n v="244065"/>
  </r>
  <r>
    <s v="BA772"/>
    <n v="2"/>
    <x v="1"/>
    <n v="9259"/>
    <n v="250"/>
    <n v="1530587"/>
    <n v="1731433"/>
  </r>
  <r>
    <s v="BA775"/>
    <n v="3"/>
    <x v="1"/>
    <n v="7891"/>
    <n v="370"/>
    <n v="2744269"/>
    <n v="2304172"/>
  </r>
  <r>
    <s v="BA777"/>
    <n v="1"/>
    <x v="1"/>
    <n v="4521"/>
    <n v="270"/>
    <n v="789367"/>
    <n v="877074"/>
  </r>
  <r>
    <s v="BA778"/>
    <n v="1"/>
    <x v="1"/>
    <n v="3859"/>
    <n v="225"/>
    <n v="643427"/>
    <n v="683043"/>
  </r>
  <r>
    <s v="BA782"/>
    <n v="1"/>
    <x v="1"/>
    <n v="4219"/>
    <n v="500"/>
    <n v="1537404"/>
    <n v="1687600"/>
  </r>
  <r>
    <s v="BA786"/>
    <n v="1"/>
    <x v="1"/>
    <n v="3052"/>
    <n v="280"/>
    <n v="524081"/>
    <n v="674492"/>
  </r>
  <r>
    <s v="BA790"/>
    <n v="3"/>
    <x v="1"/>
    <n v="4204"/>
    <n v="205"/>
    <n v="812213"/>
    <n v="773536"/>
  </r>
  <r>
    <s v="BA793"/>
    <n v="1"/>
    <x v="1"/>
    <n v="331"/>
    <n v="370"/>
    <n v="94333"/>
    <n v="96652"/>
  </r>
  <r>
    <s v="BA796"/>
    <n v="1"/>
    <x v="1"/>
    <n v="1224"/>
    <n v="345"/>
    <n v="294079"/>
    <n v="358632"/>
  </r>
  <r>
    <s v="BA797"/>
    <n v="2"/>
    <x v="1"/>
    <n v="6998"/>
    <n v="375"/>
    <n v="2202271"/>
    <n v="2099400"/>
  </r>
  <r>
    <s v="BA799"/>
    <n v="1"/>
    <x v="1"/>
    <n v="3456"/>
    <n v="265"/>
    <n v="833933"/>
    <n v="656640"/>
  </r>
  <r>
    <s v="CI201"/>
    <n v="2"/>
    <x v="2"/>
    <n v="4003"/>
    <n v="550"/>
    <n v="1456788"/>
    <n v="1585188"/>
  </r>
  <r>
    <s v="CI202"/>
    <n v="2"/>
    <x v="2"/>
    <n v="9691"/>
    <n v="710"/>
    <n v="6436375"/>
    <n v="5426960"/>
  </r>
  <r>
    <s v="CI209"/>
    <n v="1"/>
    <x v="2"/>
    <n v="2102"/>
    <n v="400"/>
    <n v="824977"/>
    <n v="664232"/>
  </r>
  <r>
    <s v="CI210"/>
    <n v="1"/>
    <x v="2"/>
    <n v="4665"/>
    <n v="400"/>
    <n v="1166176"/>
    <n v="1343520"/>
  </r>
  <r>
    <s v="CI216"/>
    <n v="2"/>
    <x v="2"/>
    <n v="5284"/>
    <n v="640"/>
    <n v="3332857"/>
    <n v="2668420"/>
  </r>
  <r>
    <s v="CI217"/>
    <n v="1"/>
    <x v="2"/>
    <n v="4737"/>
    <n v="400"/>
    <n v="1306787"/>
    <n v="1496892"/>
  </r>
  <r>
    <s v="CI218"/>
    <n v="2"/>
    <x v="2"/>
    <n v="5587"/>
    <n v="420"/>
    <n v="2822184"/>
    <n v="2229213"/>
  </r>
  <r>
    <s v="CI220"/>
    <n v="2"/>
    <x v="2"/>
    <n v="5601"/>
    <n v="480"/>
    <n v="3048737"/>
    <n v="2688480"/>
  </r>
  <r>
    <s v="CI221"/>
    <n v="1"/>
    <x v="2"/>
    <n v="403"/>
    <n v="720"/>
    <n v="206701"/>
    <n v="228904"/>
  </r>
  <r>
    <s v="CI223"/>
    <n v="2"/>
    <x v="2"/>
    <n v="7934"/>
    <n v="650"/>
    <n v="3683479"/>
    <n v="4070142"/>
  </r>
  <r>
    <s v="CI226"/>
    <n v="1"/>
    <x v="2"/>
    <n v="2793"/>
    <n v="590"/>
    <n v="1297634"/>
    <n v="1301538"/>
  </r>
  <r>
    <s v="CI228"/>
    <n v="1"/>
    <x v="2"/>
    <n v="3456"/>
    <n v="470"/>
    <n v="1640564"/>
    <n v="1624320"/>
  </r>
  <r>
    <s v="CI231"/>
    <n v="2"/>
    <x v="2"/>
    <n v="5961"/>
    <n v="690"/>
    <n v="3680829"/>
    <n v="3248745"/>
  </r>
  <r>
    <s v="CI235"/>
    <n v="1"/>
    <x v="2"/>
    <n v="1483"/>
    <n v="410"/>
    <n v="470734"/>
    <n v="437485"/>
  </r>
  <r>
    <s v="CI238"/>
    <n v="3"/>
    <x v="2"/>
    <n v="5371"/>
    <n v="670"/>
    <n v="2495625"/>
    <n v="2588822"/>
  </r>
  <r>
    <s v="CI239"/>
    <n v="2"/>
    <x v="2"/>
    <n v="6062"/>
    <n v="620"/>
    <n v="4310931"/>
    <n v="3758440"/>
  </r>
  <r>
    <s v="CI240"/>
    <n v="5"/>
    <x v="2"/>
    <n v="11880"/>
    <n v="700"/>
    <n v="6831761"/>
    <n v="5987520"/>
  </r>
  <r>
    <s v="CI243"/>
    <n v="1"/>
    <x v="2"/>
    <n v="2620"/>
    <n v="690"/>
    <n v="1308486"/>
    <n v="1354540"/>
  </r>
  <r>
    <s v="CI245"/>
    <n v="1"/>
    <x v="2"/>
    <n v="748"/>
    <n v="450"/>
    <n v="335254"/>
    <n v="269280"/>
  </r>
  <r>
    <s v="CI247"/>
    <n v="2"/>
    <x v="2"/>
    <n v="11289"/>
    <n v="390"/>
    <n v="3752013"/>
    <n v="3160920"/>
  </r>
  <r>
    <s v="CI250"/>
    <n v="1"/>
    <x v="2"/>
    <n v="6739"/>
    <n v="640"/>
    <n v="4440624"/>
    <n v="3450368"/>
  </r>
  <r>
    <s v="CI256"/>
    <n v="2"/>
    <x v="2"/>
    <n v="14198"/>
    <n v="500"/>
    <n v="8824057"/>
    <n v="7099000"/>
  </r>
  <r>
    <s v="CI261"/>
    <n v="1"/>
    <x v="2"/>
    <n v="4348"/>
    <n v="460"/>
    <n v="1479486"/>
    <n v="1439188"/>
  </r>
  <r>
    <s v="CI263"/>
    <n v="1"/>
    <x v="2"/>
    <n v="1987"/>
    <n v="720"/>
    <n v="1143515"/>
    <n v="1029266"/>
  </r>
  <r>
    <s v="CI266"/>
    <n v="1"/>
    <x v="2"/>
    <n v="5486"/>
    <n v="460"/>
    <n v="1948425"/>
    <n v="1815866"/>
  </r>
  <r>
    <s v="CI268"/>
    <n v="6"/>
    <x v="2"/>
    <n v="8452"/>
    <n v="670"/>
    <n v="3759213"/>
    <n v="4242904"/>
  </r>
  <r>
    <s v="CI269"/>
    <n v="2"/>
    <x v="2"/>
    <n v="3211"/>
    <n v="600"/>
    <n v="2276856"/>
    <n v="1830270"/>
  </r>
  <r>
    <s v="CI272"/>
    <n v="1"/>
    <x v="2"/>
    <n v="3484"/>
    <n v="620"/>
    <n v="1891583"/>
    <n v="1944072"/>
  </r>
  <r>
    <s v="CI273"/>
    <n v="1"/>
    <x v="2"/>
    <n v="4564"/>
    <n v="630"/>
    <n v="1785159"/>
    <n v="2268308"/>
  </r>
  <r>
    <s v="CI278"/>
    <n v="3"/>
    <x v="2"/>
    <n v="8942"/>
    <n v="700"/>
    <n v="5399109"/>
    <n v="4506768"/>
  </r>
  <r>
    <s v="CI283"/>
    <n v="2"/>
    <x v="2"/>
    <n v="5068"/>
    <n v="600"/>
    <n v="3487798"/>
    <n v="3040800"/>
  </r>
  <r>
    <s v="CI286"/>
    <n v="1"/>
    <x v="2"/>
    <n v="2995"/>
    <n v="440"/>
    <n v="1143521"/>
    <n v="988350"/>
  </r>
  <r>
    <s v="CM300"/>
    <n v="1"/>
    <x v="3"/>
    <n v="4521"/>
    <n v="150"/>
    <n v="553371"/>
    <n v="678150"/>
  </r>
  <r>
    <s v="CM303"/>
    <n v="1"/>
    <x v="3"/>
    <n v="6120"/>
    <n v="130"/>
    <n v="892664"/>
    <n v="795600"/>
  </r>
  <r>
    <s v="CM308"/>
    <n v="1"/>
    <x v="3"/>
    <n v="1497"/>
    <n v="220"/>
    <n v="316167"/>
    <n v="329340"/>
  </r>
  <r>
    <s v="CM310"/>
    <n v="2"/>
    <x v="3"/>
    <n v="7588"/>
    <n v="170"/>
    <n v="966469"/>
    <n v="925736"/>
  </r>
  <r>
    <s v="CM312"/>
    <n v="1"/>
    <x v="3"/>
    <n v="1195"/>
    <n v="130"/>
    <n v="158131"/>
    <n v="139815"/>
  </r>
  <r>
    <s v="CM314"/>
    <n v="2"/>
    <x v="3"/>
    <n v="4334"/>
    <n v="140"/>
    <n v="508708"/>
    <n v="485408"/>
  </r>
  <r>
    <s v="CM319"/>
    <n v="1"/>
    <x v="3"/>
    <n v="3225"/>
    <n v="230"/>
    <n v="614663"/>
    <n v="583725"/>
  </r>
  <r>
    <s v="CM320"/>
    <n v="1"/>
    <x v="3"/>
    <n v="3484"/>
    <n v="140"/>
    <n v="451496"/>
    <n v="414596"/>
  </r>
  <r>
    <s v="CM324"/>
    <n v="3"/>
    <x v="3"/>
    <n v="5500"/>
    <n v="140"/>
    <n v="629805"/>
    <n v="605000"/>
  </r>
  <r>
    <s v="CM325"/>
    <n v="1"/>
    <x v="3"/>
    <n v="1756"/>
    <n v="290"/>
    <n v="473300"/>
    <n v="402124"/>
  </r>
  <r>
    <s v="CM329"/>
    <n v="1"/>
    <x v="3"/>
    <n v="4060"/>
    <n v="270"/>
    <n v="860457"/>
    <n v="864780"/>
  </r>
  <r>
    <s v="CM330"/>
    <n v="1"/>
    <x v="3"/>
    <n v="662"/>
    <n v="120"/>
    <n v="93025"/>
    <n v="79440"/>
  </r>
  <r>
    <s v="CM332"/>
    <n v="1"/>
    <x v="3"/>
    <n v="2865"/>
    <n v="210"/>
    <n v="527309"/>
    <n v="509970"/>
  </r>
  <r>
    <s v="CM333"/>
    <n v="1"/>
    <x v="3"/>
    <n v="1396"/>
    <n v="180"/>
    <n v="202055"/>
    <n v="180084"/>
  </r>
  <r>
    <s v="CM336"/>
    <n v="2"/>
    <x v="3"/>
    <n v="5932"/>
    <n v="300"/>
    <n v="1487604"/>
    <n v="1281312"/>
  </r>
  <r>
    <s v="CM339"/>
    <n v="2"/>
    <x v="3"/>
    <n v="8481"/>
    <n v="260"/>
    <n v="1649385"/>
    <n v="1764048"/>
  </r>
  <r>
    <s v="CM341"/>
    <n v="1"/>
    <x v="3"/>
    <n v="3052"/>
    <n v="270"/>
    <n v="581168"/>
    <n v="650076"/>
  </r>
  <r>
    <s v="CM342"/>
    <n v="1"/>
    <x v="3"/>
    <n v="3888"/>
    <n v="270"/>
    <n v="914551"/>
    <n v="944784"/>
  </r>
  <r>
    <s v="CM345"/>
    <n v="1"/>
    <x v="3"/>
    <n v="1368"/>
    <n v="250"/>
    <n v="269715"/>
    <n v="290016"/>
  </r>
  <r>
    <s v="CM346"/>
    <n v="1"/>
    <x v="3"/>
    <n v="1814"/>
    <n v="210"/>
    <n v="411886"/>
    <n v="360986"/>
  </r>
  <r>
    <s v="CM347"/>
    <n v="1"/>
    <x v="3"/>
    <n v="2548"/>
    <n v="240"/>
    <n v="476619"/>
    <n v="550368"/>
  </r>
  <r>
    <s v="CM348"/>
    <n v="4"/>
    <x v="3"/>
    <n v="9619"/>
    <n v="120"/>
    <n v="1019922"/>
    <n v="904186"/>
  </r>
  <r>
    <s v="CM349"/>
    <n v="3"/>
    <x v="3"/>
    <n v="6998"/>
    <n v="180"/>
    <n v="1183495"/>
    <n v="1196658"/>
  </r>
  <r>
    <s v="CM351"/>
    <n v="1"/>
    <x v="3"/>
    <n v="763"/>
    <n v="170"/>
    <n v="95188"/>
    <n v="102242"/>
  </r>
  <r>
    <s v="CM353"/>
    <n v="1"/>
    <x v="3"/>
    <n v="3873"/>
    <n v="260"/>
    <n v="654789"/>
    <n v="755235"/>
  </r>
  <r>
    <s v="CM358"/>
    <n v="1"/>
    <x v="3"/>
    <n v="4464"/>
    <n v="180"/>
    <n v="722526"/>
    <n v="642816"/>
  </r>
  <r>
    <s v="CM359"/>
    <n v="1"/>
    <x v="3"/>
    <n v="3614"/>
    <n v="150"/>
    <n v="465404"/>
    <n v="458978"/>
  </r>
  <r>
    <s v="CM360"/>
    <n v="1"/>
    <x v="3"/>
    <n v="2102"/>
    <n v="200"/>
    <n v="511207"/>
    <n v="399380"/>
  </r>
  <r>
    <s v="HM403"/>
    <n v="1"/>
    <x v="4"/>
    <n v="792"/>
    <n v="185"/>
    <n v="107548"/>
    <n v="109296"/>
  </r>
  <r>
    <s v="HM404"/>
    <n v="1"/>
    <x v="4"/>
    <n v="1108"/>
    <n v="315"/>
    <n v="418126"/>
    <n v="349020"/>
  </r>
  <r>
    <s v="HM408"/>
    <n v="1"/>
    <x v="4"/>
    <n v="1468"/>
    <n v="280"/>
    <n v="304511"/>
    <n v="295068"/>
  </r>
  <r>
    <s v="HM410"/>
    <n v="1"/>
    <x v="4"/>
    <n v="892"/>
    <n v="320"/>
    <n v="230493"/>
    <n v="242624"/>
  </r>
  <r>
    <s v="HM417"/>
    <n v="1"/>
    <x v="4"/>
    <n v="244"/>
    <n v="254"/>
    <n v="48410"/>
    <n v="48800"/>
  </r>
  <r>
    <s v="HM420"/>
    <n v="1"/>
    <x v="4"/>
    <n v="2664"/>
    <n v="175"/>
    <n v="386014"/>
    <n v="372960"/>
  </r>
  <r>
    <s v="HM438"/>
    <n v="1"/>
    <x v="4"/>
    <n v="518"/>
    <n v="285"/>
    <n v="119878"/>
    <n v="132608"/>
  </r>
  <r>
    <s v="HM439"/>
    <n v="1"/>
    <x v="4"/>
    <n v="691"/>
    <n v="315"/>
    <n v="146676"/>
    <n v="184497"/>
  </r>
  <r>
    <s v="HM440"/>
    <n v="1"/>
    <x v="4"/>
    <n v="835"/>
    <n v="220"/>
    <n v="128196"/>
    <n v="156145"/>
  </r>
  <r>
    <s v="HM442"/>
    <n v="1"/>
    <x v="4"/>
    <n v="2419"/>
    <n v="255"/>
    <n v="439852"/>
    <n v="462029"/>
  </r>
  <r>
    <s v="HM446"/>
    <n v="1"/>
    <x v="4"/>
    <n v="864"/>
    <n v="160"/>
    <n v="100482"/>
    <n v="108864"/>
  </r>
  <r>
    <s v="HM448"/>
    <n v="1"/>
    <x v="4"/>
    <n v="763"/>
    <n v="235"/>
    <n v="122381"/>
    <n v="151837"/>
  </r>
  <r>
    <s v="PN501"/>
    <n v="1"/>
    <x v="5"/>
    <n v="676"/>
    <n v="205"/>
    <n v="92794"/>
    <n v="110864"/>
  </r>
  <r>
    <s v="PN502"/>
    <n v="1"/>
    <x v="5"/>
    <n v="360"/>
    <n v="355"/>
    <n v="80509"/>
    <n v="91800"/>
  </r>
  <r>
    <s v="PN504"/>
    <n v="1"/>
    <x v="5"/>
    <n v="547"/>
    <n v="180"/>
    <n v="80029"/>
    <n v="78768"/>
  </r>
  <r>
    <s v="PN506"/>
    <n v="1"/>
    <x v="5"/>
    <n v="86"/>
    <n v="200"/>
    <n v="14655"/>
    <n v="17200"/>
  </r>
  <r>
    <s v="PN510"/>
    <n v="1"/>
    <x v="5"/>
    <n v="230"/>
    <n v="190"/>
    <n v="30326"/>
    <n v="34500"/>
  </r>
  <r>
    <s v="PN511"/>
    <n v="2"/>
    <x v="5"/>
    <n v="3009"/>
    <n v="325"/>
    <n v="893511"/>
    <n v="704106"/>
  </r>
  <r>
    <s v="PN514"/>
    <n v="1"/>
    <x v="5"/>
    <n v="1555"/>
    <n v="545"/>
    <n v="747473"/>
    <n v="847475"/>
  </r>
  <r>
    <s v="ST632"/>
    <n v="1"/>
    <x v="6"/>
    <n v="2390"/>
    <n v="400"/>
    <n v="1033532"/>
    <n v="908200"/>
  </r>
  <r>
    <s v="ST637"/>
    <n v="1"/>
    <x v="6"/>
    <n v="2332"/>
    <n v="585"/>
    <n v="1380976"/>
    <n v="1294260"/>
  </r>
  <r>
    <s v="ST640"/>
    <n v="2"/>
    <x v="6"/>
    <n v="3571"/>
    <n v="585"/>
    <n v="1342529"/>
    <n v="1503391"/>
  </r>
  <r>
    <s v="ST642"/>
    <n v="1"/>
    <x v="6"/>
    <n v="2217"/>
    <n v="210"/>
    <n v="393536"/>
    <n v="441183"/>
  </r>
  <r>
    <s v="ST643"/>
    <n v="1"/>
    <x v="6"/>
    <n v="1425"/>
    <n v="465"/>
    <n v="555910"/>
    <n v="475950"/>
  </r>
  <r>
    <s v="ST644"/>
    <n v="1"/>
    <x v="6"/>
    <n v="2692"/>
    <n v="470"/>
    <n v="728693"/>
    <n v="947584"/>
  </r>
  <r>
    <s v="ST647"/>
    <n v="1"/>
    <x v="6"/>
    <n v="1195"/>
    <n v="425"/>
    <n v="447357"/>
    <n v="431395"/>
  </r>
  <r>
    <s v="ST651"/>
    <n v="1"/>
    <x v="6"/>
    <n v="921"/>
    <n v="635"/>
    <n v="499827"/>
    <n v="555363"/>
  </r>
  <r>
    <s v="ST656"/>
    <n v="1"/>
    <x v="6"/>
    <n v="3369"/>
    <n v="445"/>
    <n v="1533569"/>
    <n v="1347600"/>
  </r>
  <r>
    <s v="ST660"/>
    <n v="1"/>
    <x v="6"/>
    <n v="1051"/>
    <n v="650"/>
    <n v="517446"/>
    <n v="491868"/>
  </r>
  <r>
    <s v="ST661"/>
    <n v="1"/>
    <x v="6"/>
    <n v="384"/>
    <n v="415"/>
    <n v="153402"/>
    <n v="143232"/>
  </r>
  <r>
    <s v="ST665"/>
    <n v="1"/>
    <x v="6"/>
    <n v="2462"/>
    <n v="570"/>
    <n v="1299493"/>
    <n v="1403340"/>
  </r>
  <r>
    <s v="ST670"/>
    <n v="1"/>
    <x v="6"/>
    <n v="1209"/>
    <n v="660"/>
    <n v="506852"/>
    <n v="638352"/>
  </r>
  <r>
    <s v="ST671"/>
    <n v="1"/>
    <x v="6"/>
    <n v="604"/>
    <n v="235"/>
    <n v="81855"/>
    <n v="106304"/>
  </r>
  <r>
    <s v="ST672"/>
    <n v="1"/>
    <x v="6"/>
    <n v="1267"/>
    <n v="560"/>
    <n v="497232"/>
    <n v="567616"/>
  </r>
  <r>
    <s v="ST673"/>
    <n v="1"/>
    <x v="6"/>
    <n v="864"/>
    <n v="595"/>
    <n v="525766"/>
    <n v="436320"/>
  </r>
  <r>
    <s v="ST674"/>
    <n v="1"/>
    <x v="6"/>
    <n v="950"/>
    <n v="560"/>
    <n v="470528"/>
    <n v="505400"/>
  </r>
  <r>
    <s v="ST687"/>
    <n v="1"/>
    <x v="6"/>
    <n v="604"/>
    <n v="520"/>
    <n v="281919"/>
    <n v="251264"/>
  </r>
  <r>
    <s v="ST688"/>
    <n v="1"/>
    <x v="6"/>
    <n v="2721"/>
    <n v="250"/>
    <n v="560526"/>
    <n v="680250"/>
  </r>
  <r>
    <s v="ST697"/>
    <n v="1"/>
    <x v="6"/>
    <n v="1555"/>
    <n v="630"/>
    <n v="621999"/>
    <n v="704415"/>
  </r>
  <r>
    <s v="TR711"/>
    <n v="3"/>
    <x v="7"/>
    <n v="15796"/>
    <n v="500"/>
    <n v="5840571"/>
    <n v="6713300"/>
  </r>
  <r>
    <s v="TR703"/>
    <n v="3"/>
    <x v="7"/>
    <n v="9619"/>
    <n v="540"/>
    <n v="3892656"/>
    <n v="3732172"/>
  </r>
  <r>
    <s v="TR709"/>
    <n v="3"/>
    <x v="7"/>
    <n v="7963"/>
    <n v="310"/>
    <n v="2069616"/>
    <n v="1974824"/>
  </r>
  <r>
    <s v="TR718"/>
    <n v="2"/>
    <x v="7"/>
    <n v="4852"/>
    <n v="205"/>
    <n v="841512"/>
    <n v="941288"/>
  </r>
  <r>
    <s v="TR733"/>
    <n v="1"/>
    <x v="7"/>
    <n v="2793"/>
    <n v="415"/>
    <n v="1081436"/>
    <n v="868623"/>
  </r>
  <r>
    <s v="TR736"/>
    <n v="1"/>
    <x v="7"/>
    <n v="2188"/>
    <n v="285"/>
    <n v="517572"/>
    <n v="623580"/>
  </r>
  <r>
    <s v="TR737"/>
    <n v="1"/>
    <x v="7"/>
    <n v="4924"/>
    <n v="405"/>
    <n v="1702326"/>
    <n v="1693856"/>
  </r>
  <r>
    <s v="TR738"/>
    <n v="2"/>
    <x v="7"/>
    <n v="8798"/>
    <n v="465"/>
    <n v="3808760"/>
    <n v="3061704"/>
  </r>
  <r>
    <s v="TR745"/>
    <n v="1"/>
    <x v="7"/>
    <n v="1483"/>
    <n v="205"/>
    <n v="255480"/>
    <n v="287702"/>
  </r>
  <r>
    <s v="TR747"/>
    <n v="1"/>
    <x v="7"/>
    <n v="1252"/>
    <n v="535"/>
    <n v="536007"/>
    <n v="482020"/>
  </r>
  <r>
    <s v="TR756"/>
    <n v="1"/>
    <x v="7"/>
    <n v="3110"/>
    <n v="370"/>
    <n v="877179"/>
    <n v="1035630"/>
  </r>
  <r>
    <s v="TR760"/>
    <n v="2"/>
    <x v="7"/>
    <n v="6998"/>
    <n v="265"/>
    <n v="1167407"/>
    <n v="1329620"/>
  </r>
  <r>
    <s v="TR764"/>
    <n v="2"/>
    <x v="7"/>
    <n v="8409"/>
    <n v="650"/>
    <n v="4906030"/>
    <n v="4095183"/>
  </r>
  <r>
    <s v="TR769"/>
    <n v="2"/>
    <x v="7"/>
    <n v="7286"/>
    <n v="315"/>
    <n v="1809653"/>
    <n v="1646636"/>
  </r>
  <r>
    <s v="TR775"/>
    <n v="2"/>
    <x v="7"/>
    <n v="11289"/>
    <n v="425"/>
    <n v="4544500"/>
    <n v="3838260"/>
  </r>
  <r>
    <s v="TR783"/>
    <n v="1"/>
    <x v="7"/>
    <n v="1411"/>
    <n v="470"/>
    <n v="456792"/>
    <n v="530536"/>
  </r>
  <r>
    <s v="TR785"/>
    <n v="1"/>
    <x v="7"/>
    <n v="3657"/>
    <n v="625"/>
    <n v="1532101"/>
    <n v="1645650"/>
  </r>
  <r>
    <s v="TR796"/>
    <n v="2"/>
    <x v="7"/>
    <n v="6580"/>
    <n v="325"/>
    <n v="2008480"/>
    <n v="1710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7FB87-0F72-4EB7-9B87-D21544981F77}" name="樞紐分析表6" cacheId="45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 chartFormat="2">
  <location ref="A3:C12" firstHeaderRow="0" firstDataRow="1" firstDataCol="1"/>
  <pivotFields count="7">
    <pivotField compact="0" outline="0" showAll="0"/>
    <pivotField compact="0" outline="0" showAll="0"/>
    <pivotField axis="axisRow" compact="0" outline="0" showAll="0">
      <items count="9">
        <item x="4"/>
        <item x="6"/>
        <item x="7"/>
        <item x="1"/>
        <item x="5"/>
        <item x="2"/>
        <item x="3"/>
        <item x="0"/>
        <item t="default"/>
      </items>
    </pivotField>
    <pivotField compact="0" outline="0" showAll="0"/>
    <pivotField compact="0" numFmtId="176" outline="0" showAll="0"/>
    <pivotField dataField="1" compact="0" numFmtId="176" outline="0" showAll="0"/>
    <pivotField dataField="1" compact="0" numFmtId="176" outline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前年總銷售金額" fld="5" baseField="2" baseItem="1" numFmtId="176"/>
    <dataField name="去年總銷售金額" fld="6" baseField="2" baseItem="0" numFmtId="176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C3AA-9AB7-4949-AC22-1076C8A734F5}">
  <dimension ref="A1:G167"/>
  <sheetViews>
    <sheetView tabSelected="1" workbookViewId="0">
      <selection activeCell="G11" sqref="G11"/>
    </sheetView>
  </sheetViews>
  <sheetFormatPr defaultRowHeight="15"/>
  <cols>
    <col min="1" max="1" width="9.140625" style="1"/>
    <col min="2" max="2" width="7.42578125" style="1" customWidth="1"/>
    <col min="3" max="3" width="11.7109375" style="1" customWidth="1"/>
    <col min="4" max="4" width="9.5703125" style="1" customWidth="1"/>
    <col min="5" max="6" width="9.140625" style="1"/>
    <col min="7" max="7" width="11.7109375" style="1" customWidth="1"/>
    <col min="8" max="16384" width="9.140625" style="1"/>
  </cols>
  <sheetData>
    <row r="1" spans="1:7" ht="20.25">
      <c r="A1" s="2" t="s">
        <v>204</v>
      </c>
    </row>
    <row r="2" spans="1:7" ht="16.5">
      <c r="A2" s="26" t="s">
        <v>226</v>
      </c>
    </row>
    <row r="3" spans="1:7">
      <c r="A3" s="3" t="s">
        <v>205</v>
      </c>
      <c r="B3" s="3" t="s">
        <v>201</v>
      </c>
      <c r="C3" s="3" t="s">
        <v>170</v>
      </c>
      <c r="D3" s="4" t="s">
        <v>198</v>
      </c>
      <c r="E3" s="4" t="s">
        <v>199</v>
      </c>
      <c r="F3" s="4" t="s">
        <v>202</v>
      </c>
      <c r="G3" s="4" t="s">
        <v>203</v>
      </c>
    </row>
    <row r="4" spans="1:7">
      <c r="A4" s="24" t="s">
        <v>186</v>
      </c>
      <c r="B4" s="24">
        <v>3</v>
      </c>
      <c r="C4" s="24" t="s">
        <v>197</v>
      </c>
      <c r="D4" s="24">
        <v>15796</v>
      </c>
      <c r="E4" s="24">
        <v>500</v>
      </c>
      <c r="F4" s="24">
        <v>1</v>
      </c>
      <c r="G4" s="24">
        <v>1</v>
      </c>
    </row>
    <row r="5" spans="1:7">
      <c r="A5" s="25" t="s">
        <v>158</v>
      </c>
      <c r="B5" s="25">
        <v>2</v>
      </c>
      <c r="C5" s="25" t="s">
        <v>172</v>
      </c>
      <c r="D5" s="25">
        <v>14198</v>
      </c>
      <c r="E5" s="25">
        <v>500</v>
      </c>
      <c r="F5" s="25">
        <v>2</v>
      </c>
      <c r="G5" s="25">
        <v>1</v>
      </c>
    </row>
    <row r="6" spans="1:7">
      <c r="A6" s="24" t="s">
        <v>137</v>
      </c>
      <c r="B6" s="24">
        <v>5</v>
      </c>
      <c r="C6" s="24" t="s">
        <v>172</v>
      </c>
      <c r="D6" s="24">
        <v>11880</v>
      </c>
      <c r="E6" s="24">
        <v>700</v>
      </c>
      <c r="F6" s="24">
        <v>3</v>
      </c>
      <c r="G6" s="24">
        <v>2</v>
      </c>
    </row>
    <row r="7" spans="1:7">
      <c r="A7" s="25" t="s">
        <v>190</v>
      </c>
      <c r="B7" s="25">
        <v>2</v>
      </c>
      <c r="C7" s="25" t="s">
        <v>197</v>
      </c>
      <c r="D7" s="25">
        <v>11289</v>
      </c>
      <c r="E7" s="25">
        <v>425</v>
      </c>
      <c r="F7" s="25">
        <v>4</v>
      </c>
      <c r="G7" s="25">
        <v>2</v>
      </c>
    </row>
    <row r="8" spans="1:7">
      <c r="A8" s="24" t="s">
        <v>160</v>
      </c>
      <c r="B8" s="24">
        <v>2</v>
      </c>
      <c r="C8" s="24" t="s">
        <v>172</v>
      </c>
      <c r="D8" s="24">
        <v>11289</v>
      </c>
      <c r="E8" s="24">
        <v>390</v>
      </c>
      <c r="F8" s="24">
        <v>4</v>
      </c>
      <c r="G8" s="24">
        <v>3</v>
      </c>
    </row>
    <row r="9" spans="1:7">
      <c r="A9" s="25" t="s">
        <v>115</v>
      </c>
      <c r="B9" s="25">
        <v>2</v>
      </c>
      <c r="C9" s="25" t="s">
        <v>172</v>
      </c>
      <c r="D9" s="25">
        <v>9691</v>
      </c>
      <c r="E9" s="25">
        <v>710</v>
      </c>
      <c r="F9" s="25">
        <v>6</v>
      </c>
      <c r="G9" s="25">
        <v>4</v>
      </c>
    </row>
    <row r="10" spans="1:7">
      <c r="A10" s="24" t="s">
        <v>182</v>
      </c>
      <c r="B10" s="24">
        <v>3</v>
      </c>
      <c r="C10" s="24" t="s">
        <v>197</v>
      </c>
      <c r="D10" s="24">
        <v>9619</v>
      </c>
      <c r="E10" s="24">
        <v>540</v>
      </c>
      <c r="F10" s="24">
        <v>7</v>
      </c>
      <c r="G10" s="24">
        <v>3</v>
      </c>
    </row>
    <row r="11" spans="1:7">
      <c r="A11" s="25" t="s">
        <v>130</v>
      </c>
      <c r="B11" s="25">
        <v>4</v>
      </c>
      <c r="C11" s="25" t="s">
        <v>173</v>
      </c>
      <c r="D11" s="25">
        <v>9619</v>
      </c>
      <c r="E11" s="25">
        <v>120</v>
      </c>
      <c r="F11" s="25">
        <v>7</v>
      </c>
      <c r="G11" s="25">
        <v>1</v>
      </c>
    </row>
    <row r="12" spans="1:7">
      <c r="A12" s="24" t="s">
        <v>90</v>
      </c>
      <c r="B12" s="24">
        <v>2</v>
      </c>
      <c r="C12" s="24" t="s">
        <v>196</v>
      </c>
      <c r="D12" s="24">
        <v>9259</v>
      </c>
      <c r="E12" s="24">
        <v>250</v>
      </c>
      <c r="F12" s="24">
        <v>9</v>
      </c>
      <c r="G12" s="24">
        <v>1</v>
      </c>
    </row>
    <row r="13" spans="1:7">
      <c r="A13" s="25" t="s">
        <v>164</v>
      </c>
      <c r="B13" s="25">
        <v>3</v>
      </c>
      <c r="C13" s="25" t="s">
        <v>172</v>
      </c>
      <c r="D13" s="25">
        <v>8942</v>
      </c>
      <c r="E13" s="25">
        <v>700</v>
      </c>
      <c r="F13" s="25">
        <v>10</v>
      </c>
      <c r="G13" s="25">
        <v>5</v>
      </c>
    </row>
    <row r="14" spans="1:7">
      <c r="A14" s="24" t="s">
        <v>177</v>
      </c>
      <c r="B14" s="24">
        <v>2</v>
      </c>
      <c r="C14" s="24" t="s">
        <v>197</v>
      </c>
      <c r="D14" s="24">
        <v>8798</v>
      </c>
      <c r="E14" s="24">
        <v>465</v>
      </c>
      <c r="F14" s="24">
        <v>11</v>
      </c>
      <c r="G14" s="24">
        <v>4</v>
      </c>
    </row>
    <row r="15" spans="1:7">
      <c r="A15" s="25" t="s">
        <v>62</v>
      </c>
      <c r="B15" s="25">
        <v>2</v>
      </c>
      <c r="C15" s="25" t="s">
        <v>173</v>
      </c>
      <c r="D15" s="25">
        <v>8481</v>
      </c>
      <c r="E15" s="25">
        <v>260</v>
      </c>
      <c r="F15" s="25">
        <v>12</v>
      </c>
      <c r="G15" s="25">
        <v>2</v>
      </c>
    </row>
    <row r="16" spans="1:7">
      <c r="A16" s="24" t="s">
        <v>55</v>
      </c>
      <c r="B16" s="24">
        <v>6</v>
      </c>
      <c r="C16" s="24" t="s">
        <v>172</v>
      </c>
      <c r="D16" s="24">
        <v>8452</v>
      </c>
      <c r="E16" s="24">
        <v>670</v>
      </c>
      <c r="F16" s="24">
        <v>13</v>
      </c>
      <c r="G16" s="24">
        <v>6</v>
      </c>
    </row>
    <row r="17" spans="1:7">
      <c r="A17" s="25" t="s">
        <v>195</v>
      </c>
      <c r="B17" s="25">
        <v>2</v>
      </c>
      <c r="C17" s="25" t="s">
        <v>197</v>
      </c>
      <c r="D17" s="25">
        <v>8409</v>
      </c>
      <c r="E17" s="25">
        <v>650</v>
      </c>
      <c r="F17" s="25">
        <v>14</v>
      </c>
      <c r="G17" s="25">
        <v>5</v>
      </c>
    </row>
    <row r="18" spans="1:7">
      <c r="A18" s="24" t="s">
        <v>192</v>
      </c>
      <c r="B18" s="24">
        <v>3</v>
      </c>
      <c r="C18" s="24" t="s">
        <v>197</v>
      </c>
      <c r="D18" s="24">
        <v>7963</v>
      </c>
      <c r="E18" s="24">
        <v>310</v>
      </c>
      <c r="F18" s="24">
        <v>15</v>
      </c>
      <c r="G18" s="24">
        <v>6</v>
      </c>
    </row>
    <row r="19" spans="1:7">
      <c r="A19" s="25" t="s">
        <v>3</v>
      </c>
      <c r="B19" s="25">
        <v>2</v>
      </c>
      <c r="C19" s="25" t="s">
        <v>172</v>
      </c>
      <c r="D19" s="25">
        <v>7934</v>
      </c>
      <c r="E19" s="25">
        <v>650</v>
      </c>
      <c r="F19" s="25">
        <v>16</v>
      </c>
      <c r="G19" s="25">
        <v>7</v>
      </c>
    </row>
    <row r="20" spans="1:7">
      <c r="A20" s="24" t="s">
        <v>149</v>
      </c>
      <c r="B20" s="24">
        <v>3</v>
      </c>
      <c r="C20" s="24" t="s">
        <v>196</v>
      </c>
      <c r="D20" s="24">
        <v>7891</v>
      </c>
      <c r="E20" s="24">
        <v>370</v>
      </c>
      <c r="F20" s="24">
        <v>17</v>
      </c>
      <c r="G20" s="24">
        <v>2</v>
      </c>
    </row>
    <row r="21" spans="1:7">
      <c r="A21" s="25" t="s">
        <v>151</v>
      </c>
      <c r="B21" s="25">
        <v>2</v>
      </c>
      <c r="C21" s="25" t="s">
        <v>173</v>
      </c>
      <c r="D21" s="25">
        <v>7588</v>
      </c>
      <c r="E21" s="25">
        <v>170</v>
      </c>
      <c r="F21" s="25">
        <v>18</v>
      </c>
      <c r="G21" s="25">
        <v>3</v>
      </c>
    </row>
    <row r="22" spans="1:7">
      <c r="A22" s="24" t="s">
        <v>180</v>
      </c>
      <c r="B22" s="24">
        <v>2</v>
      </c>
      <c r="C22" s="24" t="s">
        <v>197</v>
      </c>
      <c r="D22" s="24">
        <v>7286</v>
      </c>
      <c r="E22" s="24">
        <v>315</v>
      </c>
      <c r="F22" s="24">
        <v>19</v>
      </c>
      <c r="G22" s="24">
        <v>7</v>
      </c>
    </row>
    <row r="23" spans="1:7">
      <c r="A23" s="25" t="s">
        <v>191</v>
      </c>
      <c r="B23" s="25">
        <v>2</v>
      </c>
      <c r="C23" s="25" t="s">
        <v>197</v>
      </c>
      <c r="D23" s="25">
        <v>6998</v>
      </c>
      <c r="E23" s="25">
        <v>265</v>
      </c>
      <c r="F23" s="25">
        <v>20</v>
      </c>
      <c r="G23" s="25">
        <v>8</v>
      </c>
    </row>
    <row r="24" spans="1:7">
      <c r="A24" s="24" t="s">
        <v>88</v>
      </c>
      <c r="B24" s="24">
        <v>2</v>
      </c>
      <c r="C24" s="24" t="s">
        <v>196</v>
      </c>
      <c r="D24" s="24">
        <v>6998</v>
      </c>
      <c r="E24" s="24">
        <v>375</v>
      </c>
      <c r="F24" s="24">
        <v>20</v>
      </c>
      <c r="G24" s="24">
        <v>3</v>
      </c>
    </row>
    <row r="25" spans="1:7">
      <c r="A25" s="25" t="s">
        <v>35</v>
      </c>
      <c r="B25" s="25">
        <v>3</v>
      </c>
      <c r="C25" s="25" t="s">
        <v>173</v>
      </c>
      <c r="D25" s="25">
        <v>6998</v>
      </c>
      <c r="E25" s="25">
        <v>180</v>
      </c>
      <c r="F25" s="25">
        <v>20</v>
      </c>
      <c r="G25" s="25">
        <v>4</v>
      </c>
    </row>
    <row r="26" spans="1:7">
      <c r="A26" s="24" t="s">
        <v>4</v>
      </c>
      <c r="B26" s="24">
        <v>1</v>
      </c>
      <c r="C26" s="24" t="s">
        <v>172</v>
      </c>
      <c r="D26" s="24">
        <v>6739</v>
      </c>
      <c r="E26" s="24">
        <v>640</v>
      </c>
      <c r="F26" s="24">
        <v>23</v>
      </c>
      <c r="G26" s="24">
        <v>8</v>
      </c>
    </row>
    <row r="27" spans="1:7">
      <c r="A27" s="25" t="s">
        <v>181</v>
      </c>
      <c r="B27" s="25">
        <v>2</v>
      </c>
      <c r="C27" s="25" t="s">
        <v>197</v>
      </c>
      <c r="D27" s="25">
        <v>6580</v>
      </c>
      <c r="E27" s="25">
        <v>325</v>
      </c>
      <c r="F27" s="25">
        <v>24</v>
      </c>
      <c r="G27" s="25">
        <v>9</v>
      </c>
    </row>
    <row r="28" spans="1:7">
      <c r="A28" s="24" t="s">
        <v>181</v>
      </c>
      <c r="B28" s="24">
        <v>2</v>
      </c>
      <c r="C28" s="24" t="s">
        <v>197</v>
      </c>
      <c r="D28" s="24">
        <v>6580</v>
      </c>
      <c r="E28" s="24">
        <v>325</v>
      </c>
      <c r="F28" s="24">
        <v>24</v>
      </c>
      <c r="G28" s="24">
        <v>9</v>
      </c>
    </row>
    <row r="29" spans="1:7">
      <c r="A29" s="25" t="s">
        <v>181</v>
      </c>
      <c r="B29" s="25">
        <v>2</v>
      </c>
      <c r="C29" s="25" t="s">
        <v>197</v>
      </c>
      <c r="D29" s="25">
        <v>6580</v>
      </c>
      <c r="E29" s="25">
        <v>325</v>
      </c>
      <c r="F29" s="25">
        <v>24</v>
      </c>
      <c r="G29" s="25">
        <v>9</v>
      </c>
    </row>
    <row r="30" spans="1:7">
      <c r="A30" s="24" t="s">
        <v>181</v>
      </c>
      <c r="B30" s="24">
        <v>2</v>
      </c>
      <c r="C30" s="24" t="s">
        <v>197</v>
      </c>
      <c r="D30" s="24">
        <v>6580</v>
      </c>
      <c r="E30" s="24">
        <v>325</v>
      </c>
      <c r="F30" s="24">
        <v>24</v>
      </c>
      <c r="G30" s="24">
        <v>9</v>
      </c>
    </row>
    <row r="31" spans="1:7">
      <c r="A31" s="25" t="s">
        <v>86</v>
      </c>
      <c r="B31" s="25">
        <v>2</v>
      </c>
      <c r="C31" s="25" t="s">
        <v>196</v>
      </c>
      <c r="D31" s="25">
        <v>6451</v>
      </c>
      <c r="E31" s="25">
        <v>370</v>
      </c>
      <c r="F31" s="25">
        <v>25</v>
      </c>
      <c r="G31" s="25">
        <v>4</v>
      </c>
    </row>
    <row r="32" spans="1:7">
      <c r="A32" s="24" t="s">
        <v>89</v>
      </c>
      <c r="B32" s="24">
        <v>2</v>
      </c>
      <c r="C32" s="24" t="s">
        <v>196</v>
      </c>
      <c r="D32" s="24">
        <v>6134</v>
      </c>
      <c r="E32" s="24">
        <v>520</v>
      </c>
      <c r="F32" s="24">
        <v>26</v>
      </c>
      <c r="G32" s="24">
        <v>5</v>
      </c>
    </row>
    <row r="33" spans="1:7">
      <c r="A33" s="25" t="s">
        <v>48</v>
      </c>
      <c r="B33" s="25">
        <v>1</v>
      </c>
      <c r="C33" s="25" t="s">
        <v>173</v>
      </c>
      <c r="D33" s="25">
        <v>6120</v>
      </c>
      <c r="E33" s="25">
        <v>130</v>
      </c>
      <c r="F33" s="25">
        <v>27</v>
      </c>
      <c r="G33" s="25">
        <v>5</v>
      </c>
    </row>
    <row r="34" spans="1:7">
      <c r="A34" s="24" t="s">
        <v>81</v>
      </c>
      <c r="B34" s="24">
        <v>2</v>
      </c>
      <c r="C34" s="24" t="s">
        <v>172</v>
      </c>
      <c r="D34" s="24">
        <v>6062</v>
      </c>
      <c r="E34" s="24">
        <v>620</v>
      </c>
      <c r="F34" s="24">
        <v>28</v>
      </c>
      <c r="G34" s="24">
        <v>9</v>
      </c>
    </row>
    <row r="35" spans="1:7">
      <c r="A35" s="25" t="s">
        <v>1</v>
      </c>
      <c r="B35" s="25">
        <v>2</v>
      </c>
      <c r="C35" s="25" t="s">
        <v>172</v>
      </c>
      <c r="D35" s="25">
        <v>5961</v>
      </c>
      <c r="E35" s="25">
        <v>690</v>
      </c>
      <c r="F35" s="25">
        <v>29</v>
      </c>
      <c r="G35" s="25">
        <v>10</v>
      </c>
    </row>
    <row r="36" spans="1:7">
      <c r="A36" s="24" t="s">
        <v>109</v>
      </c>
      <c r="B36" s="24">
        <v>2</v>
      </c>
      <c r="C36" s="24" t="s">
        <v>173</v>
      </c>
      <c r="D36" s="24">
        <v>5932</v>
      </c>
      <c r="E36" s="24">
        <v>300</v>
      </c>
      <c r="F36" s="24">
        <v>30</v>
      </c>
      <c r="G36" s="24">
        <v>6</v>
      </c>
    </row>
    <row r="37" spans="1:7">
      <c r="A37" s="25" t="s">
        <v>25</v>
      </c>
      <c r="B37" s="25">
        <v>2</v>
      </c>
      <c r="C37" s="25" t="s">
        <v>172</v>
      </c>
      <c r="D37" s="25">
        <v>5601</v>
      </c>
      <c r="E37" s="25">
        <v>480</v>
      </c>
      <c r="F37" s="25">
        <v>31</v>
      </c>
      <c r="G37" s="25">
        <v>11</v>
      </c>
    </row>
    <row r="38" spans="1:7">
      <c r="A38" s="24" t="s">
        <v>83</v>
      </c>
      <c r="B38" s="24">
        <v>2</v>
      </c>
      <c r="C38" s="24" t="s">
        <v>172</v>
      </c>
      <c r="D38" s="24">
        <v>5587</v>
      </c>
      <c r="E38" s="24">
        <v>420</v>
      </c>
      <c r="F38" s="24">
        <v>32</v>
      </c>
      <c r="G38" s="24">
        <v>12</v>
      </c>
    </row>
    <row r="39" spans="1:7">
      <c r="A39" s="25" t="s">
        <v>58</v>
      </c>
      <c r="B39" s="25">
        <v>3</v>
      </c>
      <c r="C39" s="25" t="s">
        <v>173</v>
      </c>
      <c r="D39" s="25">
        <v>5500</v>
      </c>
      <c r="E39" s="25">
        <v>140</v>
      </c>
      <c r="F39" s="25">
        <v>33</v>
      </c>
      <c r="G39" s="25">
        <v>7</v>
      </c>
    </row>
    <row r="40" spans="1:7">
      <c r="A40" s="24" t="s">
        <v>155</v>
      </c>
      <c r="B40" s="24">
        <v>1</v>
      </c>
      <c r="C40" s="24" t="s">
        <v>172</v>
      </c>
      <c r="D40" s="24">
        <v>5486</v>
      </c>
      <c r="E40" s="24">
        <v>460</v>
      </c>
      <c r="F40" s="24">
        <v>34</v>
      </c>
      <c r="G40" s="24">
        <v>13</v>
      </c>
    </row>
    <row r="41" spans="1:7">
      <c r="A41" s="25" t="s">
        <v>93</v>
      </c>
      <c r="B41" s="25">
        <v>3</v>
      </c>
      <c r="C41" s="25" t="s">
        <v>172</v>
      </c>
      <c r="D41" s="25">
        <v>5371</v>
      </c>
      <c r="E41" s="25">
        <v>670</v>
      </c>
      <c r="F41" s="25">
        <v>35</v>
      </c>
      <c r="G41" s="25">
        <v>14</v>
      </c>
    </row>
    <row r="42" spans="1:7">
      <c r="A42" s="24" t="s">
        <v>34</v>
      </c>
      <c r="B42" s="24">
        <v>2</v>
      </c>
      <c r="C42" s="24" t="s">
        <v>172</v>
      </c>
      <c r="D42" s="24">
        <v>5284</v>
      </c>
      <c r="E42" s="24">
        <v>640</v>
      </c>
      <c r="F42" s="24">
        <v>36</v>
      </c>
      <c r="G42" s="24">
        <v>15</v>
      </c>
    </row>
    <row r="43" spans="1:7">
      <c r="A43" s="25" t="s">
        <v>140</v>
      </c>
      <c r="B43" s="25">
        <v>2</v>
      </c>
      <c r="C43" s="25" t="s">
        <v>172</v>
      </c>
      <c r="D43" s="25">
        <v>5068</v>
      </c>
      <c r="E43" s="25">
        <v>600</v>
      </c>
      <c r="F43" s="25">
        <v>37</v>
      </c>
      <c r="G43" s="25">
        <v>16</v>
      </c>
    </row>
    <row r="44" spans="1:7">
      <c r="A44" s="24" t="s">
        <v>193</v>
      </c>
      <c r="B44" s="24">
        <v>1</v>
      </c>
      <c r="C44" s="24" t="s">
        <v>197</v>
      </c>
      <c r="D44" s="24">
        <v>4924</v>
      </c>
      <c r="E44" s="24">
        <v>405</v>
      </c>
      <c r="F44" s="24">
        <v>38</v>
      </c>
      <c r="G44" s="24">
        <v>10</v>
      </c>
    </row>
    <row r="45" spans="1:7">
      <c r="A45" s="25" t="s">
        <v>184</v>
      </c>
      <c r="B45" s="25">
        <v>2</v>
      </c>
      <c r="C45" s="25" t="s">
        <v>197</v>
      </c>
      <c r="D45" s="25">
        <v>4852</v>
      </c>
      <c r="E45" s="25">
        <v>205</v>
      </c>
      <c r="F45" s="25">
        <v>39</v>
      </c>
      <c r="G45" s="25">
        <v>11</v>
      </c>
    </row>
    <row r="46" spans="1:7">
      <c r="A46" s="24" t="s">
        <v>129</v>
      </c>
      <c r="B46" s="24">
        <v>1</v>
      </c>
      <c r="C46" s="24" t="s">
        <v>172</v>
      </c>
      <c r="D46" s="24">
        <v>4737</v>
      </c>
      <c r="E46" s="24">
        <v>400</v>
      </c>
      <c r="F46" s="24">
        <v>40</v>
      </c>
      <c r="G46" s="24">
        <v>17</v>
      </c>
    </row>
    <row r="47" spans="1:7">
      <c r="A47" s="25" t="s">
        <v>148</v>
      </c>
      <c r="B47" s="25">
        <v>1</v>
      </c>
      <c r="C47" s="25" t="s">
        <v>172</v>
      </c>
      <c r="D47" s="25">
        <v>4665</v>
      </c>
      <c r="E47" s="25">
        <v>400</v>
      </c>
      <c r="F47" s="25">
        <v>41</v>
      </c>
      <c r="G47" s="25">
        <v>18</v>
      </c>
    </row>
    <row r="48" spans="1:7">
      <c r="A48" s="24" t="s">
        <v>19</v>
      </c>
      <c r="B48" s="24">
        <v>1</v>
      </c>
      <c r="C48" s="24" t="s">
        <v>172</v>
      </c>
      <c r="D48" s="24">
        <v>4564</v>
      </c>
      <c r="E48" s="24">
        <v>630</v>
      </c>
      <c r="F48" s="24">
        <v>42</v>
      </c>
      <c r="G48" s="24">
        <v>19</v>
      </c>
    </row>
    <row r="49" spans="1:7">
      <c r="A49" s="25" t="s">
        <v>96</v>
      </c>
      <c r="B49" s="25">
        <v>1</v>
      </c>
      <c r="C49" s="25" t="s">
        <v>196</v>
      </c>
      <c r="D49" s="25">
        <v>4521</v>
      </c>
      <c r="E49" s="25">
        <v>270</v>
      </c>
      <c r="F49" s="25">
        <v>43</v>
      </c>
      <c r="G49" s="25">
        <v>6</v>
      </c>
    </row>
    <row r="50" spans="1:7">
      <c r="A50" s="24" t="s">
        <v>134</v>
      </c>
      <c r="B50" s="24">
        <v>1</v>
      </c>
      <c r="C50" s="24" t="s">
        <v>173</v>
      </c>
      <c r="D50" s="24">
        <v>4521</v>
      </c>
      <c r="E50" s="24">
        <v>150</v>
      </c>
      <c r="F50" s="24">
        <v>43</v>
      </c>
      <c r="G50" s="24">
        <v>8</v>
      </c>
    </row>
    <row r="51" spans="1:7">
      <c r="A51" s="25" t="s">
        <v>65</v>
      </c>
      <c r="B51" s="25">
        <v>1</v>
      </c>
      <c r="C51" s="25" t="s">
        <v>173</v>
      </c>
      <c r="D51" s="25">
        <v>4464</v>
      </c>
      <c r="E51" s="25">
        <v>180</v>
      </c>
      <c r="F51" s="25">
        <v>45</v>
      </c>
      <c r="G51" s="25">
        <v>9</v>
      </c>
    </row>
    <row r="52" spans="1:7">
      <c r="A52" s="24" t="s">
        <v>84</v>
      </c>
      <c r="B52" s="24">
        <v>1</v>
      </c>
      <c r="C52" s="24" t="s">
        <v>196</v>
      </c>
      <c r="D52" s="24">
        <v>4377</v>
      </c>
      <c r="E52" s="24">
        <v>475</v>
      </c>
      <c r="F52" s="24">
        <v>46</v>
      </c>
      <c r="G52" s="24">
        <v>7</v>
      </c>
    </row>
    <row r="53" spans="1:7">
      <c r="A53" s="25" t="s">
        <v>38</v>
      </c>
      <c r="B53" s="25">
        <v>1</v>
      </c>
      <c r="C53" s="25" t="s">
        <v>172</v>
      </c>
      <c r="D53" s="25">
        <v>4348</v>
      </c>
      <c r="E53" s="25">
        <v>460</v>
      </c>
      <c r="F53" s="25">
        <v>47</v>
      </c>
      <c r="G53" s="25">
        <v>20</v>
      </c>
    </row>
    <row r="54" spans="1:7">
      <c r="A54" s="24" t="s">
        <v>68</v>
      </c>
      <c r="B54" s="24">
        <v>2</v>
      </c>
      <c r="C54" s="24" t="s">
        <v>173</v>
      </c>
      <c r="D54" s="24">
        <v>4334</v>
      </c>
      <c r="E54" s="24">
        <v>140</v>
      </c>
      <c r="F54" s="24">
        <v>48</v>
      </c>
      <c r="G54" s="24">
        <v>10</v>
      </c>
    </row>
    <row r="55" spans="1:7">
      <c r="A55" s="25" t="s">
        <v>144</v>
      </c>
      <c r="B55" s="25">
        <v>1</v>
      </c>
      <c r="C55" s="25" t="s">
        <v>196</v>
      </c>
      <c r="D55" s="25">
        <v>4219</v>
      </c>
      <c r="E55" s="25">
        <v>500</v>
      </c>
      <c r="F55" s="25">
        <v>49</v>
      </c>
      <c r="G55" s="25">
        <v>8</v>
      </c>
    </row>
    <row r="56" spans="1:7">
      <c r="A56" s="24" t="s">
        <v>159</v>
      </c>
      <c r="B56" s="24">
        <v>3</v>
      </c>
      <c r="C56" s="24" t="s">
        <v>196</v>
      </c>
      <c r="D56" s="24">
        <v>4204</v>
      </c>
      <c r="E56" s="24">
        <v>205</v>
      </c>
      <c r="F56" s="24">
        <v>50</v>
      </c>
      <c r="G56" s="24">
        <v>9</v>
      </c>
    </row>
    <row r="57" spans="1:7">
      <c r="A57" s="25" t="s">
        <v>8</v>
      </c>
      <c r="B57" s="25">
        <v>1</v>
      </c>
      <c r="C57" s="25" t="s">
        <v>173</v>
      </c>
      <c r="D57" s="25">
        <v>4060</v>
      </c>
      <c r="E57" s="25">
        <v>270</v>
      </c>
      <c r="F57" s="25">
        <v>51</v>
      </c>
      <c r="G57" s="25">
        <v>11</v>
      </c>
    </row>
    <row r="58" spans="1:7">
      <c r="A58" s="24" t="s">
        <v>121</v>
      </c>
      <c r="B58" s="24">
        <v>2</v>
      </c>
      <c r="C58" s="24" t="s">
        <v>172</v>
      </c>
      <c r="D58" s="24">
        <v>4003</v>
      </c>
      <c r="E58" s="24">
        <v>550</v>
      </c>
      <c r="F58" s="24">
        <v>52</v>
      </c>
      <c r="G58" s="24">
        <v>21</v>
      </c>
    </row>
    <row r="59" spans="1:7">
      <c r="A59" s="25" t="s">
        <v>20</v>
      </c>
      <c r="B59" s="25">
        <v>1</v>
      </c>
      <c r="C59" s="25" t="s">
        <v>173</v>
      </c>
      <c r="D59" s="25">
        <v>3888</v>
      </c>
      <c r="E59" s="25">
        <v>270</v>
      </c>
      <c r="F59" s="25">
        <v>53</v>
      </c>
      <c r="G59" s="25">
        <v>12</v>
      </c>
    </row>
    <row r="60" spans="1:7">
      <c r="A60" s="24" t="s">
        <v>116</v>
      </c>
      <c r="B60" s="24">
        <v>1</v>
      </c>
      <c r="C60" s="24" t="s">
        <v>173</v>
      </c>
      <c r="D60" s="24">
        <v>3873</v>
      </c>
      <c r="E60" s="24">
        <v>260</v>
      </c>
      <c r="F60" s="24">
        <v>54</v>
      </c>
      <c r="G60" s="24">
        <v>13</v>
      </c>
    </row>
    <row r="61" spans="1:7">
      <c r="A61" s="25" t="s">
        <v>116</v>
      </c>
      <c r="B61" s="25">
        <v>1</v>
      </c>
      <c r="C61" s="25" t="s">
        <v>173</v>
      </c>
      <c r="D61" s="25">
        <v>3873</v>
      </c>
      <c r="E61" s="25">
        <v>260</v>
      </c>
      <c r="F61" s="25">
        <v>54</v>
      </c>
      <c r="G61" s="25">
        <v>13</v>
      </c>
    </row>
    <row r="62" spans="1:7">
      <c r="A62" s="24" t="s">
        <v>97</v>
      </c>
      <c r="B62" s="24">
        <v>1</v>
      </c>
      <c r="C62" s="24" t="s">
        <v>196</v>
      </c>
      <c r="D62" s="24">
        <v>3859</v>
      </c>
      <c r="E62" s="24">
        <v>225</v>
      </c>
      <c r="F62" s="24">
        <v>55</v>
      </c>
      <c r="G62" s="24">
        <v>10</v>
      </c>
    </row>
    <row r="63" spans="1:7">
      <c r="A63" s="25" t="s">
        <v>188</v>
      </c>
      <c r="B63" s="25">
        <v>1</v>
      </c>
      <c r="C63" s="25" t="s">
        <v>197</v>
      </c>
      <c r="D63" s="25">
        <v>3657</v>
      </c>
      <c r="E63" s="25">
        <v>625</v>
      </c>
      <c r="F63" s="25">
        <v>56</v>
      </c>
      <c r="G63" s="25">
        <v>12</v>
      </c>
    </row>
    <row r="64" spans="1:7">
      <c r="A64" s="24" t="s">
        <v>125</v>
      </c>
      <c r="B64" s="24">
        <v>1</v>
      </c>
      <c r="C64" s="24" t="s">
        <v>173</v>
      </c>
      <c r="D64" s="24">
        <v>3614</v>
      </c>
      <c r="E64" s="24">
        <v>150</v>
      </c>
      <c r="F64" s="24">
        <v>57</v>
      </c>
      <c r="G64" s="24">
        <v>14</v>
      </c>
    </row>
    <row r="65" spans="1:7">
      <c r="A65" s="25" t="s">
        <v>45</v>
      </c>
      <c r="B65" s="25">
        <v>2</v>
      </c>
      <c r="C65" s="25" t="s">
        <v>176</v>
      </c>
      <c r="D65" s="25">
        <v>3571</v>
      </c>
      <c r="E65" s="25">
        <v>585</v>
      </c>
      <c r="F65" s="25">
        <v>58</v>
      </c>
      <c r="G65" s="25">
        <v>1</v>
      </c>
    </row>
    <row r="66" spans="1:7">
      <c r="A66" s="24" t="s">
        <v>85</v>
      </c>
      <c r="B66" s="24">
        <v>1</v>
      </c>
      <c r="C66" s="24" t="s">
        <v>172</v>
      </c>
      <c r="D66" s="24">
        <v>3484</v>
      </c>
      <c r="E66" s="24">
        <v>620</v>
      </c>
      <c r="F66" s="24">
        <v>59</v>
      </c>
      <c r="G66" s="24">
        <v>22</v>
      </c>
    </row>
    <row r="67" spans="1:7">
      <c r="A67" s="25" t="s">
        <v>101</v>
      </c>
      <c r="B67" s="25">
        <v>1</v>
      </c>
      <c r="C67" s="25" t="s">
        <v>173</v>
      </c>
      <c r="D67" s="25">
        <v>3484</v>
      </c>
      <c r="E67" s="25">
        <v>140</v>
      </c>
      <c r="F67" s="25">
        <v>59</v>
      </c>
      <c r="G67" s="25">
        <v>15</v>
      </c>
    </row>
    <row r="68" spans="1:7">
      <c r="A68" s="24" t="s">
        <v>168</v>
      </c>
      <c r="B68" s="24">
        <v>1</v>
      </c>
      <c r="C68" s="24" t="s">
        <v>196</v>
      </c>
      <c r="D68" s="24">
        <v>3456</v>
      </c>
      <c r="E68" s="24">
        <v>265</v>
      </c>
      <c r="F68" s="24">
        <v>61</v>
      </c>
      <c r="G68" s="24">
        <v>11</v>
      </c>
    </row>
    <row r="69" spans="1:7">
      <c r="A69" s="25" t="s">
        <v>87</v>
      </c>
      <c r="B69" s="25">
        <v>1</v>
      </c>
      <c r="C69" s="25" t="s">
        <v>172</v>
      </c>
      <c r="D69" s="25">
        <v>3456</v>
      </c>
      <c r="E69" s="25">
        <v>470</v>
      </c>
      <c r="F69" s="25">
        <v>61</v>
      </c>
      <c r="G69" s="25">
        <v>23</v>
      </c>
    </row>
    <row r="70" spans="1:7">
      <c r="A70" s="24" t="s">
        <v>135</v>
      </c>
      <c r="B70" s="24">
        <v>1</v>
      </c>
      <c r="C70" s="24" t="s">
        <v>176</v>
      </c>
      <c r="D70" s="24">
        <v>3369</v>
      </c>
      <c r="E70" s="24">
        <v>445</v>
      </c>
      <c r="F70" s="24">
        <v>63</v>
      </c>
      <c r="G70" s="24">
        <v>2</v>
      </c>
    </row>
    <row r="71" spans="1:7">
      <c r="A71" s="25" t="s">
        <v>71</v>
      </c>
      <c r="B71" s="25">
        <v>1</v>
      </c>
      <c r="C71" s="25" t="s">
        <v>173</v>
      </c>
      <c r="D71" s="25">
        <v>3225</v>
      </c>
      <c r="E71" s="25">
        <v>230</v>
      </c>
      <c r="F71" s="25">
        <v>64</v>
      </c>
      <c r="G71" s="25">
        <v>16</v>
      </c>
    </row>
    <row r="72" spans="1:7">
      <c r="A72" s="24" t="s">
        <v>15</v>
      </c>
      <c r="B72" s="24">
        <v>2</v>
      </c>
      <c r="C72" s="24" t="s">
        <v>172</v>
      </c>
      <c r="D72" s="24">
        <v>3211</v>
      </c>
      <c r="E72" s="24">
        <v>600</v>
      </c>
      <c r="F72" s="24">
        <v>65</v>
      </c>
      <c r="G72" s="24">
        <v>24</v>
      </c>
    </row>
    <row r="73" spans="1:7">
      <c r="A73" s="25" t="s">
        <v>82</v>
      </c>
      <c r="B73" s="25">
        <v>1</v>
      </c>
      <c r="C73" s="25" t="s">
        <v>196</v>
      </c>
      <c r="D73" s="25">
        <v>3182</v>
      </c>
      <c r="E73" s="25">
        <v>340</v>
      </c>
      <c r="F73" s="25">
        <v>66</v>
      </c>
      <c r="G73" s="25">
        <v>12</v>
      </c>
    </row>
    <row r="74" spans="1:7">
      <c r="A74" s="24" t="s">
        <v>185</v>
      </c>
      <c r="B74" s="24">
        <v>1</v>
      </c>
      <c r="C74" s="24" t="s">
        <v>197</v>
      </c>
      <c r="D74" s="24">
        <v>3110</v>
      </c>
      <c r="E74" s="24">
        <v>370</v>
      </c>
      <c r="F74" s="24">
        <v>67</v>
      </c>
      <c r="G74" s="24">
        <v>13</v>
      </c>
    </row>
    <row r="75" spans="1:7">
      <c r="A75" s="25" t="s">
        <v>185</v>
      </c>
      <c r="B75" s="25">
        <v>1</v>
      </c>
      <c r="C75" s="25" t="s">
        <v>197</v>
      </c>
      <c r="D75" s="25">
        <v>3110</v>
      </c>
      <c r="E75" s="25">
        <v>370</v>
      </c>
      <c r="F75" s="25">
        <v>67</v>
      </c>
      <c r="G75" s="25">
        <v>13</v>
      </c>
    </row>
    <row r="76" spans="1:7">
      <c r="A76" s="24" t="s">
        <v>161</v>
      </c>
      <c r="B76" s="24">
        <v>1</v>
      </c>
      <c r="C76" s="24" t="s">
        <v>196</v>
      </c>
      <c r="D76" s="24">
        <v>3052</v>
      </c>
      <c r="E76" s="24">
        <v>280</v>
      </c>
      <c r="F76" s="24">
        <v>68</v>
      </c>
      <c r="G76" s="24">
        <v>13</v>
      </c>
    </row>
    <row r="77" spans="1:7">
      <c r="A77" s="25" t="s">
        <v>43</v>
      </c>
      <c r="B77" s="25">
        <v>1</v>
      </c>
      <c r="C77" s="25" t="s">
        <v>173</v>
      </c>
      <c r="D77" s="25">
        <v>3052</v>
      </c>
      <c r="E77" s="25">
        <v>270</v>
      </c>
      <c r="F77" s="25">
        <v>68</v>
      </c>
      <c r="G77" s="25">
        <v>17</v>
      </c>
    </row>
    <row r="78" spans="1:7">
      <c r="A78" s="24" t="s">
        <v>43</v>
      </c>
      <c r="B78" s="24">
        <v>1</v>
      </c>
      <c r="C78" s="24" t="s">
        <v>173</v>
      </c>
      <c r="D78" s="24">
        <v>3052</v>
      </c>
      <c r="E78" s="24">
        <v>270</v>
      </c>
      <c r="F78" s="24">
        <v>68</v>
      </c>
      <c r="G78" s="24">
        <v>17</v>
      </c>
    </row>
    <row r="79" spans="1:7">
      <c r="A79" s="25" t="s">
        <v>18</v>
      </c>
      <c r="B79" s="25">
        <v>2</v>
      </c>
      <c r="C79" s="25" t="s">
        <v>175</v>
      </c>
      <c r="D79" s="25">
        <v>3009</v>
      </c>
      <c r="E79" s="25">
        <v>325</v>
      </c>
      <c r="F79" s="25">
        <v>70</v>
      </c>
      <c r="G79" s="25">
        <v>1</v>
      </c>
    </row>
    <row r="80" spans="1:7">
      <c r="A80" s="24" t="s">
        <v>73</v>
      </c>
      <c r="B80" s="24">
        <v>1</v>
      </c>
      <c r="C80" s="24" t="s">
        <v>172</v>
      </c>
      <c r="D80" s="24">
        <v>2995</v>
      </c>
      <c r="E80" s="24">
        <v>440</v>
      </c>
      <c r="F80" s="24">
        <v>71</v>
      </c>
      <c r="G80" s="24">
        <v>25</v>
      </c>
    </row>
    <row r="81" spans="1:7">
      <c r="A81" s="25" t="s">
        <v>73</v>
      </c>
      <c r="B81" s="25">
        <v>1</v>
      </c>
      <c r="C81" s="25" t="s">
        <v>172</v>
      </c>
      <c r="D81" s="25">
        <v>2995</v>
      </c>
      <c r="E81" s="25">
        <v>440</v>
      </c>
      <c r="F81" s="25">
        <v>71</v>
      </c>
      <c r="G81" s="25">
        <v>25</v>
      </c>
    </row>
    <row r="82" spans="1:7">
      <c r="A82" s="24" t="s">
        <v>7</v>
      </c>
      <c r="B82" s="24">
        <v>1</v>
      </c>
      <c r="C82" s="24" t="s">
        <v>173</v>
      </c>
      <c r="D82" s="24">
        <v>2865</v>
      </c>
      <c r="E82" s="24">
        <v>210</v>
      </c>
      <c r="F82" s="24">
        <v>72</v>
      </c>
      <c r="G82" s="24">
        <v>18</v>
      </c>
    </row>
    <row r="83" spans="1:7">
      <c r="A83" s="25" t="s">
        <v>95</v>
      </c>
      <c r="B83" s="25">
        <v>1</v>
      </c>
      <c r="C83" s="25" t="s">
        <v>196</v>
      </c>
      <c r="D83" s="25">
        <v>2851</v>
      </c>
      <c r="E83" s="25">
        <v>255</v>
      </c>
      <c r="F83" s="25">
        <v>73</v>
      </c>
      <c r="G83" s="25">
        <v>14</v>
      </c>
    </row>
    <row r="84" spans="1:7">
      <c r="A84" s="24" t="s">
        <v>187</v>
      </c>
      <c r="B84" s="24">
        <v>1</v>
      </c>
      <c r="C84" s="24" t="s">
        <v>197</v>
      </c>
      <c r="D84" s="24">
        <v>2793</v>
      </c>
      <c r="E84" s="24">
        <v>415</v>
      </c>
      <c r="F84" s="24">
        <v>74</v>
      </c>
      <c r="G84" s="24">
        <v>14</v>
      </c>
    </row>
    <row r="85" spans="1:7">
      <c r="A85" s="25" t="s">
        <v>157</v>
      </c>
      <c r="B85" s="25">
        <v>1</v>
      </c>
      <c r="C85" s="25" t="s">
        <v>172</v>
      </c>
      <c r="D85" s="25">
        <v>2793</v>
      </c>
      <c r="E85" s="25">
        <v>590</v>
      </c>
      <c r="F85" s="25">
        <v>74</v>
      </c>
      <c r="G85" s="25">
        <v>26</v>
      </c>
    </row>
    <row r="86" spans="1:7">
      <c r="A86" s="24" t="s">
        <v>54</v>
      </c>
      <c r="B86" s="24">
        <v>1</v>
      </c>
      <c r="C86" s="24" t="s">
        <v>176</v>
      </c>
      <c r="D86" s="24">
        <v>2721</v>
      </c>
      <c r="E86" s="24">
        <v>250</v>
      </c>
      <c r="F86" s="24">
        <v>76</v>
      </c>
      <c r="G86" s="24">
        <v>3</v>
      </c>
    </row>
    <row r="87" spans="1:7">
      <c r="A87" s="25" t="s">
        <v>139</v>
      </c>
      <c r="B87" s="25">
        <v>1</v>
      </c>
      <c r="C87" s="25" t="s">
        <v>176</v>
      </c>
      <c r="D87" s="25">
        <v>2692</v>
      </c>
      <c r="E87" s="25">
        <v>470</v>
      </c>
      <c r="F87" s="25">
        <v>77</v>
      </c>
      <c r="G87" s="25">
        <v>4</v>
      </c>
    </row>
    <row r="88" spans="1:7">
      <c r="A88" s="24" t="s">
        <v>59</v>
      </c>
      <c r="B88" s="24">
        <v>1</v>
      </c>
      <c r="C88" s="24" t="s">
        <v>174</v>
      </c>
      <c r="D88" s="24">
        <v>2664</v>
      </c>
      <c r="E88" s="24">
        <v>175</v>
      </c>
      <c r="F88" s="24">
        <v>78</v>
      </c>
      <c r="G88" s="24">
        <v>1</v>
      </c>
    </row>
    <row r="89" spans="1:7">
      <c r="A89" s="25" t="s">
        <v>67</v>
      </c>
      <c r="B89" s="25">
        <v>1</v>
      </c>
      <c r="C89" s="25" t="s">
        <v>172</v>
      </c>
      <c r="D89" s="25">
        <v>2620</v>
      </c>
      <c r="E89" s="25">
        <v>690</v>
      </c>
      <c r="F89" s="25">
        <v>79</v>
      </c>
      <c r="G89" s="25">
        <v>27</v>
      </c>
    </row>
    <row r="90" spans="1:7">
      <c r="A90" s="24" t="s">
        <v>52</v>
      </c>
      <c r="B90" s="24">
        <v>1</v>
      </c>
      <c r="C90" s="24" t="s">
        <v>173</v>
      </c>
      <c r="D90" s="24">
        <v>2548</v>
      </c>
      <c r="E90" s="24">
        <v>240</v>
      </c>
      <c r="F90" s="24">
        <v>80</v>
      </c>
      <c r="G90" s="24">
        <v>19</v>
      </c>
    </row>
    <row r="91" spans="1:7">
      <c r="A91" s="25" t="s">
        <v>154</v>
      </c>
      <c r="B91" s="25">
        <v>1</v>
      </c>
      <c r="C91" s="25" t="s">
        <v>196</v>
      </c>
      <c r="D91" s="25">
        <v>2491</v>
      </c>
      <c r="E91" s="25">
        <v>630</v>
      </c>
      <c r="F91" s="25">
        <v>81</v>
      </c>
      <c r="G91" s="25">
        <v>15</v>
      </c>
    </row>
    <row r="92" spans="1:7">
      <c r="A92" s="24" t="s">
        <v>150</v>
      </c>
      <c r="B92" s="24">
        <v>1</v>
      </c>
      <c r="C92" s="24" t="s">
        <v>176</v>
      </c>
      <c r="D92" s="24">
        <v>2462</v>
      </c>
      <c r="E92" s="24">
        <v>570</v>
      </c>
      <c r="F92" s="24">
        <v>82</v>
      </c>
      <c r="G92" s="24">
        <v>5</v>
      </c>
    </row>
    <row r="93" spans="1:7">
      <c r="A93" s="25" t="s">
        <v>31</v>
      </c>
      <c r="B93" s="25">
        <v>1</v>
      </c>
      <c r="C93" s="25" t="s">
        <v>174</v>
      </c>
      <c r="D93" s="25">
        <v>2419</v>
      </c>
      <c r="E93" s="25">
        <v>255</v>
      </c>
      <c r="F93" s="25">
        <v>83</v>
      </c>
      <c r="G93" s="25">
        <v>2</v>
      </c>
    </row>
    <row r="94" spans="1:7">
      <c r="A94" s="24" t="s">
        <v>114</v>
      </c>
      <c r="B94" s="24">
        <v>1</v>
      </c>
      <c r="C94" s="24" t="s">
        <v>176</v>
      </c>
      <c r="D94" s="24">
        <v>2390</v>
      </c>
      <c r="E94" s="24">
        <v>400</v>
      </c>
      <c r="F94" s="24">
        <v>84</v>
      </c>
      <c r="G94" s="24">
        <v>6</v>
      </c>
    </row>
    <row r="95" spans="1:7">
      <c r="A95" s="25" t="s">
        <v>28</v>
      </c>
      <c r="B95" s="25">
        <v>1</v>
      </c>
      <c r="C95" s="25" t="s">
        <v>176</v>
      </c>
      <c r="D95" s="25">
        <v>2332</v>
      </c>
      <c r="E95" s="25">
        <v>585</v>
      </c>
      <c r="F95" s="25">
        <v>85</v>
      </c>
      <c r="G95" s="25">
        <v>7</v>
      </c>
    </row>
    <row r="96" spans="1:7">
      <c r="A96" s="24" t="s">
        <v>60</v>
      </c>
      <c r="B96" s="24">
        <v>1</v>
      </c>
      <c r="C96" s="24" t="s">
        <v>176</v>
      </c>
      <c r="D96" s="24">
        <v>2217</v>
      </c>
      <c r="E96" s="24">
        <v>210</v>
      </c>
      <c r="F96" s="24">
        <v>86</v>
      </c>
      <c r="G96" s="24">
        <v>8</v>
      </c>
    </row>
    <row r="97" spans="1:7">
      <c r="A97" s="25" t="s">
        <v>183</v>
      </c>
      <c r="B97" s="25">
        <v>1</v>
      </c>
      <c r="C97" s="25" t="s">
        <v>197</v>
      </c>
      <c r="D97" s="25">
        <v>2188</v>
      </c>
      <c r="E97" s="25">
        <v>285</v>
      </c>
      <c r="F97" s="25">
        <v>87</v>
      </c>
      <c r="G97" s="25">
        <v>15</v>
      </c>
    </row>
    <row r="98" spans="1:7">
      <c r="A98" s="24" t="s">
        <v>169</v>
      </c>
      <c r="B98" s="24">
        <v>1</v>
      </c>
      <c r="C98" s="24" t="s">
        <v>196</v>
      </c>
      <c r="D98" s="24">
        <v>2102</v>
      </c>
      <c r="E98" s="24">
        <v>255</v>
      </c>
      <c r="F98" s="24">
        <v>88</v>
      </c>
      <c r="G98" s="24">
        <v>16</v>
      </c>
    </row>
    <row r="99" spans="1:7">
      <c r="A99" s="25" t="s">
        <v>169</v>
      </c>
      <c r="B99" s="25">
        <v>1</v>
      </c>
      <c r="C99" s="25" t="s">
        <v>196</v>
      </c>
      <c r="D99" s="25">
        <v>2102</v>
      </c>
      <c r="E99" s="25">
        <v>255</v>
      </c>
      <c r="F99" s="25">
        <v>88</v>
      </c>
      <c r="G99" s="25">
        <v>16</v>
      </c>
    </row>
    <row r="100" spans="1:7">
      <c r="A100" s="24" t="s">
        <v>2</v>
      </c>
      <c r="B100" s="24">
        <v>1</v>
      </c>
      <c r="C100" s="24" t="s">
        <v>172</v>
      </c>
      <c r="D100" s="24">
        <v>2102</v>
      </c>
      <c r="E100" s="24">
        <v>400</v>
      </c>
      <c r="F100" s="24">
        <v>88</v>
      </c>
      <c r="G100" s="24">
        <v>28</v>
      </c>
    </row>
    <row r="101" spans="1:7">
      <c r="A101" s="25" t="s">
        <v>122</v>
      </c>
      <c r="B101" s="25">
        <v>1</v>
      </c>
      <c r="C101" s="25" t="s">
        <v>173</v>
      </c>
      <c r="D101" s="25">
        <v>2102</v>
      </c>
      <c r="E101" s="25">
        <v>200</v>
      </c>
      <c r="F101" s="25">
        <v>88</v>
      </c>
      <c r="G101" s="25">
        <v>20</v>
      </c>
    </row>
    <row r="102" spans="1:7">
      <c r="A102" s="24" t="s">
        <v>80</v>
      </c>
      <c r="B102" s="24">
        <v>1</v>
      </c>
      <c r="C102" s="24" t="s">
        <v>196</v>
      </c>
      <c r="D102" s="24">
        <v>2030</v>
      </c>
      <c r="E102" s="24">
        <v>605</v>
      </c>
      <c r="F102" s="24">
        <v>91</v>
      </c>
      <c r="G102" s="24">
        <v>17</v>
      </c>
    </row>
    <row r="103" spans="1:7">
      <c r="A103" s="25" t="s">
        <v>47</v>
      </c>
      <c r="B103" s="25">
        <v>1</v>
      </c>
      <c r="C103" s="25" t="s">
        <v>172</v>
      </c>
      <c r="D103" s="25">
        <v>1987</v>
      </c>
      <c r="E103" s="25">
        <v>720</v>
      </c>
      <c r="F103" s="25">
        <v>92</v>
      </c>
      <c r="G103" s="25">
        <v>29</v>
      </c>
    </row>
    <row r="104" spans="1:7">
      <c r="A104" s="24" t="s">
        <v>141</v>
      </c>
      <c r="B104" s="24">
        <v>1</v>
      </c>
      <c r="C104" s="24" t="s">
        <v>173</v>
      </c>
      <c r="D104" s="24">
        <v>1814</v>
      </c>
      <c r="E104" s="24">
        <v>210</v>
      </c>
      <c r="F104" s="24">
        <v>93</v>
      </c>
      <c r="G104" s="24">
        <v>21</v>
      </c>
    </row>
    <row r="105" spans="1:7">
      <c r="A105" s="25" t="s">
        <v>77</v>
      </c>
      <c r="B105" s="25">
        <v>1</v>
      </c>
      <c r="C105" s="25" t="s">
        <v>173</v>
      </c>
      <c r="D105" s="25">
        <v>1756</v>
      </c>
      <c r="E105" s="25">
        <v>290</v>
      </c>
      <c r="F105" s="25">
        <v>94</v>
      </c>
      <c r="G105" s="25">
        <v>22</v>
      </c>
    </row>
    <row r="106" spans="1:7">
      <c r="A106" s="24" t="s">
        <v>162</v>
      </c>
      <c r="B106" s="24">
        <v>1</v>
      </c>
      <c r="C106" s="24" t="s">
        <v>196</v>
      </c>
      <c r="D106" s="24">
        <v>1684</v>
      </c>
      <c r="E106" s="24">
        <v>405</v>
      </c>
      <c r="F106" s="24">
        <v>95</v>
      </c>
      <c r="G106" s="24">
        <v>18</v>
      </c>
    </row>
    <row r="107" spans="1:7">
      <c r="A107" s="25" t="s">
        <v>132</v>
      </c>
      <c r="B107" s="25">
        <v>1</v>
      </c>
      <c r="C107" s="25" t="s">
        <v>176</v>
      </c>
      <c r="D107" s="25">
        <v>1555</v>
      </c>
      <c r="E107" s="25">
        <v>630</v>
      </c>
      <c r="F107" s="25">
        <v>96</v>
      </c>
      <c r="G107" s="25">
        <v>9</v>
      </c>
    </row>
    <row r="108" spans="1:7">
      <c r="A108" s="24" t="s">
        <v>132</v>
      </c>
      <c r="B108" s="24">
        <v>1</v>
      </c>
      <c r="C108" s="24" t="s">
        <v>176</v>
      </c>
      <c r="D108" s="24">
        <v>1555</v>
      </c>
      <c r="E108" s="24">
        <v>630</v>
      </c>
      <c r="F108" s="24">
        <v>96</v>
      </c>
      <c r="G108" s="24">
        <v>9</v>
      </c>
    </row>
    <row r="109" spans="1:7">
      <c r="A109" s="25" t="s">
        <v>132</v>
      </c>
      <c r="B109" s="25">
        <v>1</v>
      </c>
      <c r="C109" s="25" t="s">
        <v>176</v>
      </c>
      <c r="D109" s="25">
        <v>1555</v>
      </c>
      <c r="E109" s="25">
        <v>630</v>
      </c>
      <c r="F109" s="25">
        <v>96</v>
      </c>
      <c r="G109" s="25">
        <v>9</v>
      </c>
    </row>
    <row r="110" spans="1:7">
      <c r="A110" s="24" t="s">
        <v>127</v>
      </c>
      <c r="B110" s="24">
        <v>1</v>
      </c>
      <c r="C110" s="24" t="s">
        <v>175</v>
      </c>
      <c r="D110" s="24">
        <v>1555</v>
      </c>
      <c r="E110" s="24">
        <v>545</v>
      </c>
      <c r="F110" s="24">
        <v>96</v>
      </c>
      <c r="G110" s="24">
        <v>2</v>
      </c>
    </row>
    <row r="111" spans="1:7">
      <c r="A111" s="25" t="s">
        <v>119</v>
      </c>
      <c r="B111" s="25">
        <v>1</v>
      </c>
      <c r="C111" s="25" t="s">
        <v>173</v>
      </c>
      <c r="D111" s="25">
        <v>1497</v>
      </c>
      <c r="E111" s="25">
        <v>220</v>
      </c>
      <c r="F111" s="25">
        <v>98</v>
      </c>
      <c r="G111" s="25">
        <v>23</v>
      </c>
    </row>
    <row r="112" spans="1:7">
      <c r="A112" s="24" t="s">
        <v>194</v>
      </c>
      <c r="B112" s="24">
        <v>1</v>
      </c>
      <c r="C112" s="24" t="s">
        <v>197</v>
      </c>
      <c r="D112" s="24">
        <v>1483</v>
      </c>
      <c r="E112" s="24">
        <v>205</v>
      </c>
      <c r="F112" s="24">
        <v>99</v>
      </c>
      <c r="G112" s="24">
        <v>16</v>
      </c>
    </row>
    <row r="113" spans="1:7">
      <c r="A113" s="25" t="s">
        <v>108</v>
      </c>
      <c r="B113" s="25">
        <v>1</v>
      </c>
      <c r="C113" s="25" t="s">
        <v>172</v>
      </c>
      <c r="D113" s="25">
        <v>1483</v>
      </c>
      <c r="E113" s="25">
        <v>410</v>
      </c>
      <c r="F113" s="25">
        <v>99</v>
      </c>
      <c r="G113" s="25">
        <v>30</v>
      </c>
    </row>
    <row r="114" spans="1:7">
      <c r="A114" s="24" t="s">
        <v>53</v>
      </c>
      <c r="B114" s="24">
        <v>1</v>
      </c>
      <c r="C114" s="24" t="s">
        <v>174</v>
      </c>
      <c r="D114" s="24">
        <v>1468</v>
      </c>
      <c r="E114" s="24">
        <v>280</v>
      </c>
      <c r="F114" s="24">
        <v>101</v>
      </c>
      <c r="G114" s="24">
        <v>3</v>
      </c>
    </row>
    <row r="115" spans="1:7">
      <c r="A115" s="25" t="s">
        <v>128</v>
      </c>
      <c r="B115" s="25">
        <v>1</v>
      </c>
      <c r="C115" s="25" t="s">
        <v>176</v>
      </c>
      <c r="D115" s="25">
        <v>1425</v>
      </c>
      <c r="E115" s="25">
        <v>465</v>
      </c>
      <c r="F115" s="25">
        <v>102</v>
      </c>
      <c r="G115" s="25">
        <v>10</v>
      </c>
    </row>
    <row r="116" spans="1:7">
      <c r="A116" s="24" t="s">
        <v>189</v>
      </c>
      <c r="B116" s="24">
        <v>1</v>
      </c>
      <c r="C116" s="24" t="s">
        <v>197</v>
      </c>
      <c r="D116" s="24">
        <v>1411</v>
      </c>
      <c r="E116" s="24">
        <v>470</v>
      </c>
      <c r="F116" s="24">
        <v>103</v>
      </c>
      <c r="G116" s="24">
        <v>17</v>
      </c>
    </row>
    <row r="117" spans="1:7">
      <c r="A117" s="25" t="s">
        <v>70</v>
      </c>
      <c r="B117" s="25">
        <v>1</v>
      </c>
      <c r="C117" s="25" t="s">
        <v>173</v>
      </c>
      <c r="D117" s="25">
        <v>1396</v>
      </c>
      <c r="E117" s="25">
        <v>180</v>
      </c>
      <c r="F117" s="25">
        <v>104</v>
      </c>
      <c r="G117" s="25">
        <v>24</v>
      </c>
    </row>
    <row r="118" spans="1:7">
      <c r="A118" s="24" t="s">
        <v>98</v>
      </c>
      <c r="B118" s="24">
        <v>1</v>
      </c>
      <c r="C118" s="24" t="s">
        <v>173</v>
      </c>
      <c r="D118" s="24">
        <v>1368</v>
      </c>
      <c r="E118" s="24">
        <v>250</v>
      </c>
      <c r="F118" s="24">
        <v>105</v>
      </c>
      <c r="G118" s="24">
        <v>25</v>
      </c>
    </row>
    <row r="119" spans="1:7">
      <c r="A119" s="25" t="s">
        <v>124</v>
      </c>
      <c r="B119" s="25">
        <v>1</v>
      </c>
      <c r="C119" s="25" t="s">
        <v>176</v>
      </c>
      <c r="D119" s="25">
        <v>1267</v>
      </c>
      <c r="E119" s="25">
        <v>560</v>
      </c>
      <c r="F119" s="25">
        <v>106</v>
      </c>
      <c r="G119" s="25">
        <v>11</v>
      </c>
    </row>
    <row r="120" spans="1:7">
      <c r="A120" s="24" t="s">
        <v>178</v>
      </c>
      <c r="B120" s="24">
        <v>1</v>
      </c>
      <c r="C120" s="24" t="s">
        <v>197</v>
      </c>
      <c r="D120" s="24">
        <v>1252</v>
      </c>
      <c r="E120" s="24">
        <v>535</v>
      </c>
      <c r="F120" s="24">
        <v>107</v>
      </c>
      <c r="G120" s="24">
        <v>18</v>
      </c>
    </row>
    <row r="121" spans="1:7">
      <c r="A121" s="25" t="s">
        <v>167</v>
      </c>
      <c r="B121" s="25">
        <v>1</v>
      </c>
      <c r="C121" s="25" t="s">
        <v>196</v>
      </c>
      <c r="D121" s="25">
        <v>1224</v>
      </c>
      <c r="E121" s="25">
        <v>345</v>
      </c>
      <c r="F121" s="25">
        <v>108</v>
      </c>
      <c r="G121" s="25">
        <v>19</v>
      </c>
    </row>
    <row r="122" spans="1:7">
      <c r="A122" s="24" t="s">
        <v>23</v>
      </c>
      <c r="B122" s="24">
        <v>1</v>
      </c>
      <c r="C122" s="24" t="s">
        <v>176</v>
      </c>
      <c r="D122" s="24">
        <v>1209</v>
      </c>
      <c r="E122" s="24">
        <v>660</v>
      </c>
      <c r="F122" s="24">
        <v>109</v>
      </c>
      <c r="G122" s="24">
        <v>12</v>
      </c>
    </row>
    <row r="123" spans="1:7">
      <c r="A123" s="25" t="s">
        <v>111</v>
      </c>
      <c r="B123" s="25">
        <v>1</v>
      </c>
      <c r="C123" s="25" t="s">
        <v>176</v>
      </c>
      <c r="D123" s="25">
        <v>1195</v>
      </c>
      <c r="E123" s="25">
        <v>425</v>
      </c>
      <c r="F123" s="25">
        <v>110</v>
      </c>
      <c r="G123" s="25">
        <v>13</v>
      </c>
    </row>
    <row r="124" spans="1:7">
      <c r="A124" s="24" t="s">
        <v>146</v>
      </c>
      <c r="B124" s="24">
        <v>1</v>
      </c>
      <c r="C124" s="24" t="s">
        <v>173</v>
      </c>
      <c r="D124" s="24">
        <v>1195</v>
      </c>
      <c r="E124" s="24">
        <v>130</v>
      </c>
      <c r="F124" s="24">
        <v>110</v>
      </c>
      <c r="G124" s="24">
        <v>26</v>
      </c>
    </row>
    <row r="125" spans="1:7">
      <c r="A125" s="25" t="s">
        <v>123</v>
      </c>
      <c r="B125" s="25">
        <v>1</v>
      </c>
      <c r="C125" s="25" t="s">
        <v>174</v>
      </c>
      <c r="D125" s="25">
        <v>1108</v>
      </c>
      <c r="E125" s="25">
        <v>315</v>
      </c>
      <c r="F125" s="25">
        <v>112</v>
      </c>
      <c r="G125" s="25">
        <v>4</v>
      </c>
    </row>
    <row r="126" spans="1:7">
      <c r="A126" s="24" t="s">
        <v>75</v>
      </c>
      <c r="B126" s="24">
        <v>1</v>
      </c>
      <c r="C126" s="24" t="s">
        <v>176</v>
      </c>
      <c r="D126" s="24">
        <v>1051</v>
      </c>
      <c r="E126" s="24">
        <v>650</v>
      </c>
      <c r="F126" s="24">
        <v>113</v>
      </c>
      <c r="G126" s="24">
        <v>14</v>
      </c>
    </row>
    <row r="127" spans="1:7">
      <c r="A127" s="25" t="s">
        <v>94</v>
      </c>
      <c r="B127" s="25">
        <v>1</v>
      </c>
      <c r="C127" s="25" t="s">
        <v>196</v>
      </c>
      <c r="D127" s="25">
        <v>1022</v>
      </c>
      <c r="E127" s="25">
        <v>520</v>
      </c>
      <c r="F127" s="25">
        <v>114</v>
      </c>
      <c r="G127" s="25">
        <v>20</v>
      </c>
    </row>
    <row r="128" spans="1:7">
      <c r="A128" s="24" t="s">
        <v>72</v>
      </c>
      <c r="B128" s="24">
        <v>1</v>
      </c>
      <c r="C128" s="24" t="s">
        <v>176</v>
      </c>
      <c r="D128" s="24">
        <v>950</v>
      </c>
      <c r="E128" s="24">
        <v>560</v>
      </c>
      <c r="F128" s="24">
        <v>115</v>
      </c>
      <c r="G128" s="24">
        <v>15</v>
      </c>
    </row>
    <row r="129" spans="1:7">
      <c r="A129" s="25" t="s">
        <v>32</v>
      </c>
      <c r="B129" s="25">
        <v>1</v>
      </c>
      <c r="C129" s="25" t="s">
        <v>176</v>
      </c>
      <c r="D129" s="25">
        <v>921</v>
      </c>
      <c r="E129" s="25">
        <v>635</v>
      </c>
      <c r="F129" s="25">
        <v>116</v>
      </c>
      <c r="G129" s="25">
        <v>16</v>
      </c>
    </row>
    <row r="130" spans="1:7">
      <c r="A130" s="24" t="s">
        <v>74</v>
      </c>
      <c r="B130" s="24">
        <v>1</v>
      </c>
      <c r="C130" s="24" t="s">
        <v>196</v>
      </c>
      <c r="D130" s="24">
        <v>921</v>
      </c>
      <c r="E130" s="24">
        <v>265</v>
      </c>
      <c r="F130" s="24">
        <v>116</v>
      </c>
      <c r="G130" s="24">
        <v>21</v>
      </c>
    </row>
    <row r="131" spans="1:7">
      <c r="A131" s="25" t="s">
        <v>74</v>
      </c>
      <c r="B131" s="25">
        <v>1</v>
      </c>
      <c r="C131" s="25" t="s">
        <v>196</v>
      </c>
      <c r="D131" s="25">
        <v>921</v>
      </c>
      <c r="E131" s="25">
        <v>265</v>
      </c>
      <c r="F131" s="25">
        <v>116</v>
      </c>
      <c r="G131" s="25">
        <v>21</v>
      </c>
    </row>
    <row r="132" spans="1:7">
      <c r="A132" s="24" t="s">
        <v>57</v>
      </c>
      <c r="B132" s="24">
        <v>1</v>
      </c>
      <c r="C132" s="24" t="s">
        <v>171</v>
      </c>
      <c r="D132" s="24">
        <v>907</v>
      </c>
      <c r="E132" s="24">
        <v>199</v>
      </c>
      <c r="F132" s="24">
        <v>118</v>
      </c>
      <c r="G132" s="24">
        <v>1</v>
      </c>
    </row>
    <row r="133" spans="1:7">
      <c r="A133" s="25" t="s">
        <v>17</v>
      </c>
      <c r="B133" s="25">
        <v>1</v>
      </c>
      <c r="C133" s="25" t="s">
        <v>174</v>
      </c>
      <c r="D133" s="25">
        <v>892</v>
      </c>
      <c r="E133" s="25">
        <v>320</v>
      </c>
      <c r="F133" s="25">
        <v>119</v>
      </c>
      <c r="G133" s="25">
        <v>5</v>
      </c>
    </row>
    <row r="134" spans="1:7">
      <c r="A134" s="24" t="s">
        <v>41</v>
      </c>
      <c r="B134" s="24">
        <v>1</v>
      </c>
      <c r="C134" s="24" t="s">
        <v>171</v>
      </c>
      <c r="D134" s="24">
        <v>892</v>
      </c>
      <c r="E134" s="24">
        <v>525</v>
      </c>
      <c r="F134" s="24">
        <v>119</v>
      </c>
      <c r="G134" s="24">
        <v>2</v>
      </c>
    </row>
    <row r="135" spans="1:7">
      <c r="A135" s="25" t="s">
        <v>63</v>
      </c>
      <c r="B135" s="25">
        <v>1</v>
      </c>
      <c r="C135" s="25" t="s">
        <v>174</v>
      </c>
      <c r="D135" s="25">
        <v>864</v>
      </c>
      <c r="E135" s="25">
        <v>160</v>
      </c>
      <c r="F135" s="25">
        <v>121</v>
      </c>
      <c r="G135" s="25">
        <v>6</v>
      </c>
    </row>
    <row r="136" spans="1:7">
      <c r="A136" s="24" t="s">
        <v>102</v>
      </c>
      <c r="B136" s="24">
        <v>1</v>
      </c>
      <c r="C136" s="24" t="s">
        <v>176</v>
      </c>
      <c r="D136" s="24">
        <v>864</v>
      </c>
      <c r="E136" s="24">
        <v>595</v>
      </c>
      <c r="F136" s="24">
        <v>121</v>
      </c>
      <c r="G136" s="24">
        <v>17</v>
      </c>
    </row>
    <row r="137" spans="1:7">
      <c r="A137" s="25" t="s">
        <v>103</v>
      </c>
      <c r="B137" s="25">
        <v>1</v>
      </c>
      <c r="C137" s="25" t="s">
        <v>171</v>
      </c>
      <c r="D137" s="25">
        <v>849</v>
      </c>
      <c r="E137" s="25">
        <v>425</v>
      </c>
      <c r="F137" s="25">
        <v>123</v>
      </c>
      <c r="G137" s="25">
        <v>3</v>
      </c>
    </row>
    <row r="138" spans="1:7">
      <c r="A138" s="24" t="s">
        <v>49</v>
      </c>
      <c r="B138" s="24">
        <v>1</v>
      </c>
      <c r="C138" s="24" t="s">
        <v>174</v>
      </c>
      <c r="D138" s="24">
        <v>835</v>
      </c>
      <c r="E138" s="24">
        <v>220</v>
      </c>
      <c r="F138" s="24">
        <v>124</v>
      </c>
      <c r="G138" s="24">
        <v>7</v>
      </c>
    </row>
    <row r="139" spans="1:7">
      <c r="A139" s="25" t="s">
        <v>14</v>
      </c>
      <c r="B139" s="25">
        <v>1</v>
      </c>
      <c r="C139" s="25" t="s">
        <v>171</v>
      </c>
      <c r="D139" s="25">
        <v>820</v>
      </c>
      <c r="E139" s="25">
        <v>865</v>
      </c>
      <c r="F139" s="25">
        <v>125</v>
      </c>
      <c r="G139" s="25">
        <v>4</v>
      </c>
    </row>
    <row r="140" spans="1:7">
      <c r="A140" s="24" t="s">
        <v>138</v>
      </c>
      <c r="B140" s="24">
        <v>1</v>
      </c>
      <c r="C140" s="24" t="s">
        <v>174</v>
      </c>
      <c r="D140" s="24">
        <v>792</v>
      </c>
      <c r="E140" s="24">
        <v>185</v>
      </c>
      <c r="F140" s="24">
        <v>126</v>
      </c>
      <c r="G140" s="24">
        <v>8</v>
      </c>
    </row>
    <row r="141" spans="1:7">
      <c r="A141" s="25" t="s">
        <v>64</v>
      </c>
      <c r="B141" s="25">
        <v>1</v>
      </c>
      <c r="C141" s="25" t="s">
        <v>171</v>
      </c>
      <c r="D141" s="25">
        <v>777</v>
      </c>
      <c r="E141" s="25">
        <v>525</v>
      </c>
      <c r="F141" s="25">
        <v>127</v>
      </c>
      <c r="G141" s="25">
        <v>5</v>
      </c>
    </row>
    <row r="142" spans="1:7">
      <c r="A142" s="24" t="s">
        <v>64</v>
      </c>
      <c r="B142" s="24">
        <v>1</v>
      </c>
      <c r="C142" s="24" t="s">
        <v>171</v>
      </c>
      <c r="D142" s="24">
        <v>777</v>
      </c>
      <c r="E142" s="24">
        <v>525</v>
      </c>
      <c r="F142" s="24">
        <v>127</v>
      </c>
      <c r="G142" s="24">
        <v>5</v>
      </c>
    </row>
    <row r="143" spans="1:7">
      <c r="A143" s="25" t="s">
        <v>64</v>
      </c>
      <c r="B143" s="25">
        <v>1</v>
      </c>
      <c r="C143" s="25" t="s">
        <v>171</v>
      </c>
      <c r="D143" s="25">
        <v>777</v>
      </c>
      <c r="E143" s="25">
        <v>525</v>
      </c>
      <c r="F143" s="25">
        <v>127</v>
      </c>
      <c r="G143" s="25">
        <v>5</v>
      </c>
    </row>
    <row r="144" spans="1:7">
      <c r="A144" s="24" t="s">
        <v>9</v>
      </c>
      <c r="B144" s="24">
        <v>1</v>
      </c>
      <c r="C144" s="24" t="s">
        <v>174</v>
      </c>
      <c r="D144" s="24">
        <v>763</v>
      </c>
      <c r="E144" s="24">
        <v>235</v>
      </c>
      <c r="F144" s="24">
        <v>128</v>
      </c>
      <c r="G144" s="24">
        <v>9</v>
      </c>
    </row>
    <row r="145" spans="1:7">
      <c r="A145" s="25" t="s">
        <v>79</v>
      </c>
      <c r="B145" s="25">
        <v>1</v>
      </c>
      <c r="C145" s="25" t="s">
        <v>173</v>
      </c>
      <c r="D145" s="25">
        <v>763</v>
      </c>
      <c r="E145" s="25">
        <v>170</v>
      </c>
      <c r="F145" s="25">
        <v>128</v>
      </c>
      <c r="G145" s="25">
        <v>27</v>
      </c>
    </row>
    <row r="146" spans="1:7">
      <c r="A146" s="24" t="s">
        <v>100</v>
      </c>
      <c r="B146" s="24">
        <v>1</v>
      </c>
      <c r="C146" s="24" t="s">
        <v>172</v>
      </c>
      <c r="D146" s="24">
        <v>748</v>
      </c>
      <c r="E146" s="24">
        <v>450</v>
      </c>
      <c r="F146" s="24">
        <v>130</v>
      </c>
      <c r="G146" s="24">
        <v>31</v>
      </c>
    </row>
    <row r="147" spans="1:7">
      <c r="A147" s="25" t="s">
        <v>131</v>
      </c>
      <c r="B147" s="25">
        <v>1</v>
      </c>
      <c r="C147" s="25" t="s">
        <v>174</v>
      </c>
      <c r="D147" s="25">
        <v>691</v>
      </c>
      <c r="E147" s="25">
        <v>315</v>
      </c>
      <c r="F147" s="25">
        <v>131</v>
      </c>
      <c r="G147" s="25">
        <v>10</v>
      </c>
    </row>
    <row r="148" spans="1:7">
      <c r="A148" s="24" t="s">
        <v>27</v>
      </c>
      <c r="B148" s="24">
        <v>1</v>
      </c>
      <c r="C148" s="24" t="s">
        <v>175</v>
      </c>
      <c r="D148" s="24">
        <v>676</v>
      </c>
      <c r="E148" s="24">
        <v>205</v>
      </c>
      <c r="F148" s="24">
        <v>132</v>
      </c>
      <c r="G148" s="24">
        <v>3</v>
      </c>
    </row>
    <row r="149" spans="1:7">
      <c r="A149" s="25" t="s">
        <v>39</v>
      </c>
      <c r="B149" s="25">
        <v>1</v>
      </c>
      <c r="C149" s="25" t="s">
        <v>173</v>
      </c>
      <c r="D149" s="25">
        <v>662</v>
      </c>
      <c r="E149" s="25">
        <v>120</v>
      </c>
      <c r="F149" s="25">
        <v>133</v>
      </c>
      <c r="G149" s="25">
        <v>28</v>
      </c>
    </row>
    <row r="150" spans="1:7">
      <c r="A150" s="24" t="s">
        <v>106</v>
      </c>
      <c r="B150" s="24">
        <v>1</v>
      </c>
      <c r="C150" s="24" t="s">
        <v>176</v>
      </c>
      <c r="D150" s="24">
        <v>604</v>
      </c>
      <c r="E150" s="24">
        <v>235</v>
      </c>
      <c r="F150" s="24">
        <v>134</v>
      </c>
      <c r="G150" s="24">
        <v>18</v>
      </c>
    </row>
    <row r="151" spans="1:7">
      <c r="A151" s="25" t="s">
        <v>66</v>
      </c>
      <c r="B151" s="25">
        <v>1</v>
      </c>
      <c r="C151" s="25" t="s">
        <v>176</v>
      </c>
      <c r="D151" s="25">
        <v>604</v>
      </c>
      <c r="E151" s="25">
        <v>520</v>
      </c>
      <c r="F151" s="25">
        <v>134</v>
      </c>
      <c r="G151" s="25">
        <v>18</v>
      </c>
    </row>
    <row r="152" spans="1:7">
      <c r="A152" s="24" t="s">
        <v>120</v>
      </c>
      <c r="B152" s="24">
        <v>1</v>
      </c>
      <c r="C152" s="24" t="s">
        <v>175</v>
      </c>
      <c r="D152" s="24">
        <v>547</v>
      </c>
      <c r="E152" s="24">
        <v>180</v>
      </c>
      <c r="F152" s="24">
        <v>136</v>
      </c>
      <c r="G152" s="24">
        <v>4</v>
      </c>
    </row>
    <row r="153" spans="1:7">
      <c r="A153" s="25" t="s">
        <v>40</v>
      </c>
      <c r="B153" s="25">
        <v>1</v>
      </c>
      <c r="C153" s="25" t="s">
        <v>174</v>
      </c>
      <c r="D153" s="25">
        <v>518</v>
      </c>
      <c r="E153" s="25">
        <v>285</v>
      </c>
      <c r="F153" s="25">
        <v>137</v>
      </c>
      <c r="G153" s="25">
        <v>11</v>
      </c>
    </row>
    <row r="154" spans="1:7">
      <c r="A154" s="24" t="s">
        <v>40</v>
      </c>
      <c r="B154" s="24">
        <v>1</v>
      </c>
      <c r="C154" s="24" t="s">
        <v>174</v>
      </c>
      <c r="D154" s="24">
        <v>518</v>
      </c>
      <c r="E154" s="24">
        <v>285</v>
      </c>
      <c r="F154" s="24">
        <v>137</v>
      </c>
      <c r="G154" s="24">
        <v>11</v>
      </c>
    </row>
    <row r="155" spans="1:7">
      <c r="A155" s="25" t="s">
        <v>40</v>
      </c>
      <c r="B155" s="25">
        <v>1</v>
      </c>
      <c r="C155" s="25" t="s">
        <v>174</v>
      </c>
      <c r="D155" s="25">
        <v>518</v>
      </c>
      <c r="E155" s="25">
        <v>285</v>
      </c>
      <c r="F155" s="25">
        <v>137</v>
      </c>
      <c r="G155" s="25">
        <v>11</v>
      </c>
    </row>
    <row r="156" spans="1:7">
      <c r="A156" s="24" t="s">
        <v>42</v>
      </c>
      <c r="B156" s="24">
        <v>1</v>
      </c>
      <c r="C156" s="24" t="s">
        <v>172</v>
      </c>
      <c r="D156" s="24">
        <v>403</v>
      </c>
      <c r="E156" s="24">
        <v>720</v>
      </c>
      <c r="F156" s="24">
        <v>138</v>
      </c>
      <c r="G156" s="24">
        <v>32</v>
      </c>
    </row>
    <row r="157" spans="1:7">
      <c r="A157" s="25" t="s">
        <v>51</v>
      </c>
      <c r="B157" s="25">
        <v>1</v>
      </c>
      <c r="C157" s="25" t="s">
        <v>176</v>
      </c>
      <c r="D157" s="25">
        <v>384</v>
      </c>
      <c r="E157" s="25">
        <v>415</v>
      </c>
      <c r="F157" s="25">
        <v>139</v>
      </c>
      <c r="G157" s="25">
        <v>20</v>
      </c>
    </row>
    <row r="158" spans="1:7">
      <c r="A158" s="24" t="s">
        <v>50</v>
      </c>
      <c r="B158" s="24">
        <v>1</v>
      </c>
      <c r="C158" s="24" t="s">
        <v>175</v>
      </c>
      <c r="D158" s="24">
        <v>360</v>
      </c>
      <c r="E158" s="24">
        <v>355</v>
      </c>
      <c r="F158" s="24">
        <v>139</v>
      </c>
      <c r="G158" s="24">
        <v>5</v>
      </c>
    </row>
    <row r="159" spans="1:7">
      <c r="A159" s="25" t="s">
        <v>50</v>
      </c>
      <c r="B159" s="25">
        <v>1</v>
      </c>
      <c r="C159" s="25" t="s">
        <v>175</v>
      </c>
      <c r="D159" s="25">
        <v>360</v>
      </c>
      <c r="E159" s="25">
        <v>355</v>
      </c>
      <c r="F159" s="25">
        <v>139</v>
      </c>
      <c r="G159" s="25">
        <v>5</v>
      </c>
    </row>
    <row r="160" spans="1:7">
      <c r="A160" s="24" t="s">
        <v>46</v>
      </c>
      <c r="B160" s="24">
        <v>1</v>
      </c>
      <c r="C160" s="24" t="s">
        <v>171</v>
      </c>
      <c r="D160" s="24">
        <v>345</v>
      </c>
      <c r="E160" s="24">
        <v>385</v>
      </c>
      <c r="F160" s="24">
        <v>141</v>
      </c>
      <c r="G160" s="24">
        <v>6</v>
      </c>
    </row>
    <row r="161" spans="1:7">
      <c r="A161" s="25" t="s">
        <v>147</v>
      </c>
      <c r="B161" s="25">
        <v>1</v>
      </c>
      <c r="C161" s="25" t="s">
        <v>196</v>
      </c>
      <c r="D161" s="25">
        <v>331</v>
      </c>
      <c r="E161" s="25">
        <v>370</v>
      </c>
      <c r="F161" s="25">
        <v>142</v>
      </c>
      <c r="G161" s="25">
        <v>22</v>
      </c>
    </row>
    <row r="162" spans="1:7">
      <c r="A162" s="24" t="s">
        <v>107</v>
      </c>
      <c r="B162" s="24">
        <v>1</v>
      </c>
      <c r="C162" s="24" t="s">
        <v>171</v>
      </c>
      <c r="D162" s="24">
        <v>331</v>
      </c>
      <c r="E162" s="24">
        <v>650</v>
      </c>
      <c r="F162" s="24">
        <v>142</v>
      </c>
      <c r="G162" s="24">
        <v>7</v>
      </c>
    </row>
    <row r="163" spans="1:7">
      <c r="A163" s="25" t="s">
        <v>133</v>
      </c>
      <c r="B163" s="25">
        <v>1</v>
      </c>
      <c r="C163" s="25" t="s">
        <v>171</v>
      </c>
      <c r="D163" s="25">
        <v>331</v>
      </c>
      <c r="E163" s="25">
        <v>655</v>
      </c>
      <c r="F163" s="25">
        <v>142</v>
      </c>
      <c r="G163" s="25">
        <v>7</v>
      </c>
    </row>
    <row r="164" spans="1:7">
      <c r="A164" s="24" t="s">
        <v>99</v>
      </c>
      <c r="B164" s="24">
        <v>1</v>
      </c>
      <c r="C164" s="24" t="s">
        <v>171</v>
      </c>
      <c r="D164" s="24">
        <v>259</v>
      </c>
      <c r="E164" s="24">
        <v>1420</v>
      </c>
      <c r="F164" s="24">
        <v>145</v>
      </c>
      <c r="G164" s="24">
        <v>9</v>
      </c>
    </row>
    <row r="165" spans="1:7">
      <c r="A165" s="25" t="s">
        <v>126</v>
      </c>
      <c r="B165" s="25">
        <v>1</v>
      </c>
      <c r="C165" s="25" t="s">
        <v>174</v>
      </c>
      <c r="D165" s="25">
        <v>244</v>
      </c>
      <c r="E165" s="25">
        <v>254</v>
      </c>
      <c r="F165" s="25">
        <v>146</v>
      </c>
      <c r="G165" s="25">
        <v>12</v>
      </c>
    </row>
    <row r="166" spans="1:7">
      <c r="A166" s="24" t="s">
        <v>10</v>
      </c>
      <c r="B166" s="24">
        <v>1</v>
      </c>
      <c r="C166" s="24" t="s">
        <v>175</v>
      </c>
      <c r="D166" s="24">
        <v>230</v>
      </c>
      <c r="E166" s="24">
        <v>190</v>
      </c>
      <c r="F166" s="24">
        <v>147</v>
      </c>
      <c r="G166" s="24">
        <v>6</v>
      </c>
    </row>
    <row r="167" spans="1:7">
      <c r="A167" s="25" t="s">
        <v>44</v>
      </c>
      <c r="B167" s="25">
        <v>1</v>
      </c>
      <c r="C167" s="25" t="s">
        <v>175</v>
      </c>
      <c r="D167" s="25">
        <v>86</v>
      </c>
      <c r="E167" s="25">
        <v>200</v>
      </c>
      <c r="F167" s="25">
        <v>148</v>
      </c>
      <c r="G167" s="25">
        <v>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7B58-58A2-439F-82A1-0EA56B847EF3}">
  <dimension ref="A1:J19"/>
  <sheetViews>
    <sheetView workbookViewId="0">
      <selection activeCell="E4" sqref="E4"/>
    </sheetView>
  </sheetViews>
  <sheetFormatPr defaultRowHeight="15"/>
  <cols>
    <col min="1" max="3" width="11.7109375" style="5" customWidth="1"/>
    <col min="4" max="4" width="15.5703125" style="5" customWidth="1"/>
    <col min="5" max="5" width="13.42578125" style="5" bestFit="1" customWidth="1"/>
    <col min="6" max="8" width="9.140625" style="5"/>
    <col min="9" max="9" width="18" style="5" bestFit="1" customWidth="1"/>
    <col min="10" max="10" width="13.85546875" style="5" bestFit="1" customWidth="1"/>
    <col min="11" max="16384" width="9.140625" style="5"/>
  </cols>
  <sheetData>
    <row r="1" spans="1:10" ht="20.25">
      <c r="A1" s="37" t="s">
        <v>245</v>
      </c>
      <c r="B1" s="37"/>
      <c r="C1" s="37"/>
      <c r="D1" s="37"/>
      <c r="E1" s="37"/>
    </row>
    <row r="2" spans="1:10" ht="18.75">
      <c r="A2" s="38" t="s">
        <v>228</v>
      </c>
      <c r="B2" s="38"/>
      <c r="C2" s="38"/>
      <c r="D2" s="38"/>
      <c r="E2" s="38"/>
      <c r="I2" s="36" t="s">
        <v>246</v>
      </c>
      <c r="J2" s="36"/>
    </row>
    <row r="3" spans="1:10">
      <c r="A3" s="22" t="s">
        <v>240</v>
      </c>
      <c r="B3" s="22" t="s">
        <v>252</v>
      </c>
      <c r="C3" s="22" t="s">
        <v>239</v>
      </c>
      <c r="D3" s="23" t="s">
        <v>238</v>
      </c>
      <c r="E3" s="23" t="s">
        <v>241</v>
      </c>
      <c r="I3" s="27" t="s">
        <v>244</v>
      </c>
      <c r="J3" s="28" t="s">
        <v>241</v>
      </c>
    </row>
    <row r="4" spans="1:10">
      <c r="A4" s="33" t="s">
        <v>174</v>
      </c>
      <c r="B4" s="33" t="s">
        <v>242</v>
      </c>
      <c r="C4" s="34">
        <v>6761</v>
      </c>
      <c r="D4" s="35">
        <v>1280736</v>
      </c>
      <c r="E4" s="35"/>
      <c r="I4" s="29">
        <v>0</v>
      </c>
      <c r="J4" s="29">
        <v>8000</v>
      </c>
    </row>
    <row r="5" spans="1:10">
      <c r="A5" s="33" t="s">
        <v>174</v>
      </c>
      <c r="B5" s="33" t="s">
        <v>243</v>
      </c>
      <c r="C5" s="34">
        <v>6497</v>
      </c>
      <c r="D5" s="35">
        <v>1333012</v>
      </c>
      <c r="E5" s="35"/>
      <c r="I5" s="30">
        <v>1000000</v>
      </c>
      <c r="J5" s="30">
        <v>45000</v>
      </c>
    </row>
    <row r="6" spans="1:10">
      <c r="A6" s="33" t="s">
        <v>176</v>
      </c>
      <c r="B6" s="33" t="s">
        <v>242</v>
      </c>
      <c r="C6" s="34">
        <v>16215</v>
      </c>
      <c r="D6" s="35">
        <v>7193309</v>
      </c>
      <c r="E6" s="35"/>
      <c r="I6" s="31">
        <v>3000000</v>
      </c>
      <c r="J6" s="31">
        <v>125000</v>
      </c>
    </row>
    <row r="7" spans="1:10">
      <c r="A7" s="33" t="s">
        <v>176</v>
      </c>
      <c r="B7" s="33" t="s">
        <v>243</v>
      </c>
      <c r="C7" s="34">
        <v>17568</v>
      </c>
      <c r="D7" s="35">
        <v>6639978</v>
      </c>
      <c r="E7" s="35"/>
      <c r="I7" s="30">
        <v>5000000</v>
      </c>
      <c r="J7" s="30">
        <v>311000</v>
      </c>
    </row>
    <row r="8" spans="1:10">
      <c r="A8" s="33" t="s">
        <v>197</v>
      </c>
      <c r="B8" s="33" t="s">
        <v>242</v>
      </c>
      <c r="C8" s="34">
        <v>42279</v>
      </c>
      <c r="D8" s="35">
        <v>22088944</v>
      </c>
      <c r="E8" s="35"/>
      <c r="I8" s="31">
        <v>10000000</v>
      </c>
      <c r="J8" s="31">
        <v>675000</v>
      </c>
    </row>
    <row r="9" spans="1:10">
      <c r="A9" s="33" t="s">
        <v>197</v>
      </c>
      <c r="B9" s="33" t="s">
        <v>243</v>
      </c>
      <c r="C9" s="34">
        <v>66129</v>
      </c>
      <c r="D9" s="35">
        <v>14122440</v>
      </c>
      <c r="E9" s="35"/>
      <c r="I9" s="30">
        <v>30000000</v>
      </c>
      <c r="J9" s="30">
        <v>1780000</v>
      </c>
    </row>
    <row r="10" spans="1:10">
      <c r="A10" s="33" t="s">
        <v>196</v>
      </c>
      <c r="B10" s="33" t="s">
        <v>242</v>
      </c>
      <c r="C10" s="34">
        <v>47710</v>
      </c>
      <c r="D10" s="35">
        <v>9966883</v>
      </c>
      <c r="E10" s="35"/>
      <c r="I10" s="32">
        <v>40000000</v>
      </c>
      <c r="J10" s="32">
        <v>2400000</v>
      </c>
    </row>
    <row r="11" spans="1:10">
      <c r="A11" s="33" t="s">
        <v>196</v>
      </c>
      <c r="B11" s="33" t="s">
        <v>243</v>
      </c>
      <c r="C11" s="34">
        <v>34549</v>
      </c>
      <c r="D11" s="35">
        <v>13763791</v>
      </c>
      <c r="E11" s="35"/>
    </row>
    <row r="12" spans="1:10">
      <c r="A12" s="33" t="s">
        <v>175</v>
      </c>
      <c r="B12" s="33" t="s">
        <v>242</v>
      </c>
      <c r="C12" s="34">
        <v>4007</v>
      </c>
      <c r="D12" s="35">
        <v>716190</v>
      </c>
      <c r="E12" s="35"/>
    </row>
    <row r="13" spans="1:10">
      <c r="A13" s="33" t="s">
        <v>175</v>
      </c>
      <c r="B13" s="33" t="s">
        <v>243</v>
      </c>
      <c r="C13" s="34">
        <v>2456</v>
      </c>
      <c r="D13" s="35">
        <v>1168523</v>
      </c>
      <c r="E13" s="35"/>
    </row>
    <row r="14" spans="1:10">
      <c r="A14" s="33" t="s">
        <v>172</v>
      </c>
      <c r="B14" s="33" t="s">
        <v>242</v>
      </c>
      <c r="C14" s="34">
        <v>77014</v>
      </c>
      <c r="D14" s="35">
        <v>43883796</v>
      </c>
      <c r="E14" s="35"/>
    </row>
    <row r="15" spans="1:10">
      <c r="A15" s="33" t="s">
        <v>172</v>
      </c>
      <c r="B15" s="33" t="s">
        <v>243</v>
      </c>
      <c r="C15" s="34">
        <v>94130</v>
      </c>
      <c r="D15" s="35">
        <v>35904925</v>
      </c>
      <c r="E15" s="35"/>
    </row>
    <row r="16" spans="1:10">
      <c r="A16" s="33" t="s">
        <v>173</v>
      </c>
      <c r="B16" s="33" t="s">
        <v>242</v>
      </c>
      <c r="C16" s="34">
        <v>44821</v>
      </c>
      <c r="D16" s="35">
        <v>10031014</v>
      </c>
      <c r="E16" s="35"/>
    </row>
    <row r="17" spans="1:5">
      <c r="A17" s="33" t="s">
        <v>173</v>
      </c>
      <c r="B17" s="33" t="s">
        <v>243</v>
      </c>
      <c r="C17" s="34">
        <v>61898</v>
      </c>
      <c r="D17" s="35">
        <v>7263839</v>
      </c>
      <c r="E17" s="35"/>
    </row>
    <row r="18" spans="1:5">
      <c r="A18" s="33" t="s">
        <v>171</v>
      </c>
      <c r="B18" s="33" t="s">
        <v>242</v>
      </c>
      <c r="C18" s="34">
        <v>3031</v>
      </c>
      <c r="D18" s="35">
        <v>1179318</v>
      </c>
      <c r="E18" s="35"/>
    </row>
    <row r="19" spans="1:5">
      <c r="A19" s="33" t="s">
        <v>171</v>
      </c>
      <c r="B19" s="33" t="s">
        <v>243</v>
      </c>
      <c r="C19" s="34">
        <v>2480</v>
      </c>
      <c r="D19" s="35">
        <v>1441390</v>
      </c>
      <c r="E19" s="35"/>
    </row>
  </sheetData>
  <sortState xmlns:xlrd2="http://schemas.microsoft.com/office/spreadsheetml/2017/richdata2" ref="A4:E19">
    <sortCondition ref="A4:A19"/>
  </sortState>
  <mergeCells count="3">
    <mergeCell ref="I2:J2"/>
    <mergeCell ref="A1:E1"/>
    <mergeCell ref="A2:E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EE62-1C3F-454C-82C8-5F37EB650293}">
  <dimension ref="A1:E59"/>
  <sheetViews>
    <sheetView workbookViewId="0">
      <selection activeCell="H18" sqref="H18"/>
    </sheetView>
  </sheetViews>
  <sheetFormatPr defaultRowHeight="15"/>
  <cols>
    <col min="1" max="1" width="9.140625" style="5"/>
    <col min="2" max="2" width="10.5703125" style="5" bestFit="1" customWidth="1"/>
    <col min="3" max="3" width="13" style="5" bestFit="1" customWidth="1"/>
    <col min="4" max="4" width="9.140625" style="5"/>
    <col min="5" max="5" width="10.5703125" style="5" bestFit="1" customWidth="1"/>
    <col min="6" max="16384" width="9.140625" style="5"/>
  </cols>
  <sheetData>
    <row r="1" spans="1:5" ht="20.25">
      <c r="A1" s="2" t="s">
        <v>222</v>
      </c>
    </row>
    <row r="2" spans="1:5">
      <c r="A2" s="5" t="s">
        <v>223</v>
      </c>
    </row>
    <row r="3" spans="1:5">
      <c r="A3" s="9" t="s">
        <v>205</v>
      </c>
      <c r="B3" s="9" t="s">
        <v>170</v>
      </c>
      <c r="C3" s="9" t="s">
        <v>224</v>
      </c>
      <c r="D3" s="9" t="s">
        <v>225</v>
      </c>
      <c r="E3" s="10" t="s">
        <v>200</v>
      </c>
    </row>
    <row r="4" spans="1:5">
      <c r="A4" s="7" t="s">
        <v>13</v>
      </c>
      <c r="B4" s="7" t="s">
        <v>176</v>
      </c>
      <c r="C4" s="8">
        <v>44319</v>
      </c>
      <c r="D4" s="7">
        <v>2500</v>
      </c>
      <c r="E4" s="7">
        <v>175</v>
      </c>
    </row>
    <row r="5" spans="1:5">
      <c r="A5" s="7" t="s">
        <v>0</v>
      </c>
      <c r="B5" s="7" t="s">
        <v>171</v>
      </c>
      <c r="C5" s="8">
        <v>44319</v>
      </c>
      <c r="D5" s="7">
        <v>1000</v>
      </c>
      <c r="E5" s="7">
        <v>205</v>
      </c>
    </row>
    <row r="6" spans="1:5">
      <c r="A6" s="7" t="s">
        <v>166</v>
      </c>
      <c r="B6" s="7" t="s">
        <v>196</v>
      </c>
      <c r="C6" s="8">
        <v>44319</v>
      </c>
      <c r="D6" s="7">
        <v>1000</v>
      </c>
      <c r="E6" s="7">
        <v>420</v>
      </c>
    </row>
    <row r="7" spans="1:5">
      <c r="A7" s="7" t="s">
        <v>113</v>
      </c>
      <c r="B7" s="7" t="s">
        <v>173</v>
      </c>
      <c r="C7" s="8">
        <v>44319</v>
      </c>
      <c r="D7" s="7">
        <v>3500</v>
      </c>
      <c r="E7" s="7">
        <v>245</v>
      </c>
    </row>
    <row r="8" spans="1:5">
      <c r="A8" s="7" t="s">
        <v>105</v>
      </c>
      <c r="B8" s="7" t="s">
        <v>174</v>
      </c>
      <c r="C8" s="8">
        <v>44319</v>
      </c>
      <c r="D8" s="7">
        <v>1500</v>
      </c>
      <c r="E8" s="7">
        <v>299</v>
      </c>
    </row>
    <row r="9" spans="1:5">
      <c r="A9" s="7" t="s">
        <v>209</v>
      </c>
      <c r="B9" s="7" t="s">
        <v>208</v>
      </c>
      <c r="C9" s="8">
        <v>44319</v>
      </c>
      <c r="D9" s="7">
        <v>1000</v>
      </c>
      <c r="E9" s="7">
        <v>299</v>
      </c>
    </row>
    <row r="10" spans="1:5">
      <c r="A10" s="7" t="s">
        <v>207</v>
      </c>
      <c r="B10" s="7" t="s">
        <v>197</v>
      </c>
      <c r="C10" s="8">
        <v>44319</v>
      </c>
      <c r="D10" s="7">
        <v>2500</v>
      </c>
      <c r="E10" s="7">
        <v>275</v>
      </c>
    </row>
    <row r="11" spans="1:5">
      <c r="A11" s="7" t="s">
        <v>61</v>
      </c>
      <c r="B11" s="7" t="s">
        <v>171</v>
      </c>
      <c r="C11" s="8">
        <v>44321</v>
      </c>
      <c r="D11" s="7">
        <v>1500</v>
      </c>
      <c r="E11" s="7">
        <v>485</v>
      </c>
    </row>
    <row r="12" spans="1:5">
      <c r="A12" s="7" t="s">
        <v>118</v>
      </c>
      <c r="B12" s="7" t="s">
        <v>172</v>
      </c>
      <c r="C12" s="8">
        <v>44321</v>
      </c>
      <c r="D12" s="7">
        <v>2800</v>
      </c>
      <c r="E12" s="7">
        <v>420</v>
      </c>
    </row>
    <row r="13" spans="1:5">
      <c r="A13" s="7" t="s">
        <v>16</v>
      </c>
      <c r="B13" s="7" t="s">
        <v>173</v>
      </c>
      <c r="C13" s="8">
        <v>44321</v>
      </c>
      <c r="D13" s="7">
        <v>2000</v>
      </c>
      <c r="E13" s="7">
        <v>199</v>
      </c>
    </row>
    <row r="14" spans="1:5">
      <c r="A14" s="7" t="s">
        <v>179</v>
      </c>
      <c r="B14" s="7" t="s">
        <v>197</v>
      </c>
      <c r="C14" s="8">
        <v>44321</v>
      </c>
      <c r="D14" s="7">
        <v>5000</v>
      </c>
      <c r="E14" s="7">
        <v>260</v>
      </c>
    </row>
    <row r="15" spans="1:5">
      <c r="A15" s="7" t="s">
        <v>30</v>
      </c>
      <c r="B15" s="7" t="s">
        <v>173</v>
      </c>
      <c r="C15" s="8">
        <v>44322</v>
      </c>
      <c r="D15" s="7">
        <v>4500</v>
      </c>
      <c r="E15" s="7">
        <v>99</v>
      </c>
    </row>
    <row r="16" spans="1:5">
      <c r="A16" s="7" t="s">
        <v>220</v>
      </c>
      <c r="B16" s="7" t="s">
        <v>208</v>
      </c>
      <c r="C16" s="8">
        <v>44322</v>
      </c>
      <c r="D16" s="7">
        <v>4500</v>
      </c>
      <c r="E16" s="7">
        <v>230</v>
      </c>
    </row>
    <row r="17" spans="1:5">
      <c r="A17" s="7" t="s">
        <v>211</v>
      </c>
      <c r="B17" s="7" t="s">
        <v>208</v>
      </c>
      <c r="C17" s="8">
        <v>44323</v>
      </c>
      <c r="D17" s="7">
        <v>4500</v>
      </c>
      <c r="E17" s="7">
        <v>235</v>
      </c>
    </row>
    <row r="18" spans="1:5">
      <c r="A18" s="7" t="s">
        <v>6</v>
      </c>
      <c r="B18" s="7" t="s">
        <v>173</v>
      </c>
      <c r="C18" s="8">
        <v>44324</v>
      </c>
      <c r="D18" s="7">
        <v>1500</v>
      </c>
      <c r="E18" s="7">
        <v>235</v>
      </c>
    </row>
    <row r="19" spans="1:5">
      <c r="A19" s="7" t="s">
        <v>24</v>
      </c>
      <c r="B19" s="7" t="s">
        <v>171</v>
      </c>
      <c r="C19" s="8">
        <v>44325</v>
      </c>
      <c r="D19" s="7">
        <v>1000</v>
      </c>
      <c r="E19" s="7">
        <v>730</v>
      </c>
    </row>
    <row r="20" spans="1:5">
      <c r="A20" s="7" t="s">
        <v>152</v>
      </c>
      <c r="B20" s="7" t="s">
        <v>176</v>
      </c>
      <c r="C20" s="8">
        <v>44326</v>
      </c>
      <c r="D20" s="7">
        <v>2000</v>
      </c>
      <c r="E20" s="7">
        <v>185</v>
      </c>
    </row>
    <row r="21" spans="1:5">
      <c r="A21" s="7" t="s">
        <v>76</v>
      </c>
      <c r="B21" s="7" t="s">
        <v>172</v>
      </c>
      <c r="C21" s="8">
        <v>44326</v>
      </c>
      <c r="D21" s="7">
        <v>1600</v>
      </c>
      <c r="E21" s="7">
        <v>450</v>
      </c>
    </row>
    <row r="22" spans="1:5">
      <c r="A22" s="7" t="s">
        <v>143</v>
      </c>
      <c r="B22" s="7" t="s">
        <v>173</v>
      </c>
      <c r="C22" s="8">
        <v>44326</v>
      </c>
      <c r="D22" s="7">
        <v>4000</v>
      </c>
      <c r="E22" s="7">
        <v>285</v>
      </c>
    </row>
    <row r="23" spans="1:5">
      <c r="A23" s="7" t="s">
        <v>219</v>
      </c>
      <c r="B23" s="7" t="s">
        <v>208</v>
      </c>
      <c r="C23" s="8">
        <v>44326</v>
      </c>
      <c r="D23" s="7">
        <v>2000</v>
      </c>
      <c r="E23" s="7">
        <v>210</v>
      </c>
    </row>
    <row r="24" spans="1:5">
      <c r="A24" s="7" t="s">
        <v>21</v>
      </c>
      <c r="B24" s="7" t="s">
        <v>174</v>
      </c>
      <c r="C24" s="8">
        <v>44326</v>
      </c>
      <c r="D24" s="7">
        <v>1000</v>
      </c>
      <c r="E24" s="7">
        <v>255</v>
      </c>
    </row>
    <row r="25" spans="1:5">
      <c r="A25" s="7" t="s">
        <v>213</v>
      </c>
      <c r="B25" s="7" t="s">
        <v>208</v>
      </c>
      <c r="C25" s="8">
        <v>44327</v>
      </c>
      <c r="D25" s="7">
        <v>1000</v>
      </c>
      <c r="E25" s="7">
        <v>235</v>
      </c>
    </row>
    <row r="26" spans="1:5">
      <c r="A26" s="7" t="s">
        <v>92</v>
      </c>
      <c r="B26" s="7" t="s">
        <v>196</v>
      </c>
      <c r="C26" s="8">
        <v>44328</v>
      </c>
      <c r="D26" s="7">
        <v>2500</v>
      </c>
      <c r="E26" s="7">
        <v>225</v>
      </c>
    </row>
    <row r="27" spans="1:5">
      <c r="A27" s="7" t="s">
        <v>5</v>
      </c>
      <c r="B27" s="7" t="s">
        <v>172</v>
      </c>
      <c r="C27" s="8">
        <v>44328</v>
      </c>
      <c r="D27" s="7">
        <v>2800</v>
      </c>
      <c r="E27" s="7">
        <v>520</v>
      </c>
    </row>
    <row r="28" spans="1:5">
      <c r="A28" s="7" t="s">
        <v>22</v>
      </c>
      <c r="B28" s="7" t="s">
        <v>175</v>
      </c>
      <c r="C28" s="8">
        <v>44328</v>
      </c>
      <c r="D28" s="7">
        <v>1500</v>
      </c>
      <c r="E28" s="7">
        <v>185</v>
      </c>
    </row>
    <row r="29" spans="1:5">
      <c r="A29" s="7" t="s">
        <v>11</v>
      </c>
      <c r="B29" s="7" t="s">
        <v>175</v>
      </c>
      <c r="C29" s="8">
        <v>44329</v>
      </c>
      <c r="D29" s="7">
        <v>1500</v>
      </c>
      <c r="E29" s="7">
        <v>225</v>
      </c>
    </row>
    <row r="30" spans="1:5">
      <c r="A30" s="7" t="s">
        <v>29</v>
      </c>
      <c r="B30" s="7" t="s">
        <v>172</v>
      </c>
      <c r="C30" s="8">
        <v>44333</v>
      </c>
      <c r="D30" s="7">
        <v>1200</v>
      </c>
      <c r="E30" s="7">
        <v>340</v>
      </c>
    </row>
    <row r="31" spans="1:5">
      <c r="A31" s="7" t="s">
        <v>215</v>
      </c>
      <c r="B31" s="7" t="s">
        <v>208</v>
      </c>
      <c r="C31" s="8">
        <v>44333</v>
      </c>
      <c r="D31" s="7">
        <v>1500</v>
      </c>
      <c r="E31" s="7">
        <v>245</v>
      </c>
    </row>
    <row r="32" spans="1:5">
      <c r="A32" s="7" t="s">
        <v>221</v>
      </c>
      <c r="B32" s="7" t="s">
        <v>208</v>
      </c>
      <c r="C32" s="8">
        <v>44333</v>
      </c>
      <c r="D32" s="7">
        <v>2000</v>
      </c>
      <c r="E32" s="7">
        <v>345</v>
      </c>
    </row>
    <row r="33" spans="1:5">
      <c r="A33" s="7" t="s">
        <v>36</v>
      </c>
      <c r="B33" s="7" t="s">
        <v>174</v>
      </c>
      <c r="C33" s="8">
        <v>44333</v>
      </c>
      <c r="D33" s="7">
        <v>500</v>
      </c>
      <c r="E33" s="7">
        <v>265</v>
      </c>
    </row>
    <row r="34" spans="1:5">
      <c r="A34" s="7" t="s">
        <v>56</v>
      </c>
      <c r="B34" s="7" t="s">
        <v>174</v>
      </c>
      <c r="C34" s="8">
        <v>44333</v>
      </c>
      <c r="D34" s="7">
        <v>1000</v>
      </c>
      <c r="E34" s="7">
        <v>315</v>
      </c>
    </row>
    <row r="35" spans="1:5">
      <c r="A35" s="7" t="s">
        <v>210</v>
      </c>
      <c r="B35" s="7" t="s">
        <v>208</v>
      </c>
      <c r="C35" s="8">
        <v>44333</v>
      </c>
      <c r="D35" s="7">
        <v>2000</v>
      </c>
      <c r="E35" s="7">
        <v>625</v>
      </c>
    </row>
    <row r="36" spans="1:5">
      <c r="A36" s="7" t="s">
        <v>33</v>
      </c>
      <c r="B36" s="7" t="s">
        <v>171</v>
      </c>
      <c r="C36" s="8">
        <v>44334</v>
      </c>
      <c r="D36" s="7">
        <v>500</v>
      </c>
      <c r="E36" s="7">
        <v>600</v>
      </c>
    </row>
    <row r="37" spans="1:5">
      <c r="A37" s="7" t="s">
        <v>145</v>
      </c>
      <c r="B37" s="7" t="s">
        <v>176</v>
      </c>
      <c r="C37" s="8">
        <v>44335</v>
      </c>
      <c r="D37" s="7">
        <v>2000</v>
      </c>
      <c r="E37" s="7">
        <v>235</v>
      </c>
    </row>
    <row r="38" spans="1:5">
      <c r="A38" s="7" t="s">
        <v>153</v>
      </c>
      <c r="B38" s="7" t="s">
        <v>196</v>
      </c>
      <c r="C38" s="8">
        <v>44335</v>
      </c>
      <c r="D38" s="7">
        <v>4500</v>
      </c>
      <c r="E38" s="7">
        <v>450</v>
      </c>
    </row>
    <row r="39" spans="1:5">
      <c r="A39" s="7" t="s">
        <v>217</v>
      </c>
      <c r="B39" s="7" t="s">
        <v>208</v>
      </c>
      <c r="C39" s="8">
        <v>44335</v>
      </c>
      <c r="D39" s="7">
        <v>2500</v>
      </c>
      <c r="E39" s="7">
        <v>350</v>
      </c>
    </row>
    <row r="40" spans="1:5">
      <c r="A40" s="7" t="s">
        <v>218</v>
      </c>
      <c r="B40" s="7" t="s">
        <v>208</v>
      </c>
      <c r="C40" s="8">
        <v>44335</v>
      </c>
      <c r="D40" s="7">
        <v>2000</v>
      </c>
      <c r="E40" s="7">
        <v>420</v>
      </c>
    </row>
    <row r="41" spans="1:5">
      <c r="A41" s="7" t="s">
        <v>165</v>
      </c>
      <c r="B41" s="7" t="s">
        <v>196</v>
      </c>
      <c r="C41" s="8">
        <v>44337</v>
      </c>
      <c r="D41" s="7">
        <v>3500</v>
      </c>
      <c r="E41" s="7">
        <v>365</v>
      </c>
    </row>
    <row r="42" spans="1:5">
      <c r="A42" s="7" t="s">
        <v>26</v>
      </c>
      <c r="B42" s="7" t="s">
        <v>173</v>
      </c>
      <c r="C42" s="8">
        <v>44337</v>
      </c>
      <c r="D42" s="7">
        <v>2000</v>
      </c>
      <c r="E42" s="7">
        <v>180</v>
      </c>
    </row>
    <row r="43" spans="1:5">
      <c r="A43" s="7" t="s">
        <v>104</v>
      </c>
      <c r="B43" s="7" t="s">
        <v>173</v>
      </c>
      <c r="C43" s="8">
        <v>44338</v>
      </c>
      <c r="D43" s="7">
        <v>2500</v>
      </c>
      <c r="E43" s="7">
        <v>210</v>
      </c>
    </row>
    <row r="44" spans="1:5">
      <c r="A44" s="7" t="s">
        <v>112</v>
      </c>
      <c r="B44" s="7" t="s">
        <v>172</v>
      </c>
      <c r="C44" s="8">
        <v>44339</v>
      </c>
      <c r="D44" s="7">
        <v>2000</v>
      </c>
      <c r="E44" s="7">
        <v>490</v>
      </c>
    </row>
    <row r="45" spans="1:5">
      <c r="A45" s="7" t="s">
        <v>37</v>
      </c>
      <c r="B45" s="7" t="s">
        <v>176</v>
      </c>
      <c r="C45" s="8">
        <v>44340</v>
      </c>
      <c r="D45" s="7">
        <v>2000</v>
      </c>
      <c r="E45" s="7">
        <v>320</v>
      </c>
    </row>
    <row r="46" spans="1:5">
      <c r="A46" s="7" t="s">
        <v>91</v>
      </c>
      <c r="B46" s="7" t="s">
        <v>172</v>
      </c>
      <c r="C46" s="8">
        <v>44340</v>
      </c>
      <c r="D46" s="7">
        <v>2000</v>
      </c>
      <c r="E46" s="7">
        <v>480</v>
      </c>
    </row>
    <row r="47" spans="1:5">
      <c r="A47" s="7" t="s">
        <v>69</v>
      </c>
      <c r="B47" s="7" t="s">
        <v>172</v>
      </c>
      <c r="C47" s="8">
        <v>44340</v>
      </c>
      <c r="D47" s="7">
        <v>800</v>
      </c>
      <c r="E47" s="7">
        <v>560</v>
      </c>
    </row>
    <row r="48" spans="1:5">
      <c r="A48" s="7" t="s">
        <v>142</v>
      </c>
      <c r="B48" s="7" t="s">
        <v>173</v>
      </c>
      <c r="C48" s="8">
        <v>44340</v>
      </c>
      <c r="D48" s="7">
        <v>1000</v>
      </c>
      <c r="E48" s="7">
        <v>165</v>
      </c>
    </row>
    <row r="49" spans="1:5">
      <c r="A49" s="7" t="s">
        <v>110</v>
      </c>
      <c r="B49" s="7" t="s">
        <v>175</v>
      </c>
      <c r="C49" s="8">
        <v>44340</v>
      </c>
      <c r="D49" s="7">
        <v>2500</v>
      </c>
      <c r="E49" s="7">
        <v>325</v>
      </c>
    </row>
    <row r="50" spans="1:5">
      <c r="A50" s="7" t="s">
        <v>216</v>
      </c>
      <c r="B50" s="7" t="s">
        <v>208</v>
      </c>
      <c r="C50" s="8">
        <v>44340</v>
      </c>
      <c r="D50" s="7">
        <v>2500</v>
      </c>
      <c r="E50" s="7">
        <v>285</v>
      </c>
    </row>
    <row r="51" spans="1:5">
      <c r="A51" s="7" t="s">
        <v>214</v>
      </c>
      <c r="B51" s="7" t="s">
        <v>208</v>
      </c>
      <c r="C51" s="8">
        <v>44340</v>
      </c>
      <c r="D51" s="7">
        <v>2000</v>
      </c>
      <c r="E51" s="7">
        <v>199</v>
      </c>
    </row>
    <row r="52" spans="1:5">
      <c r="A52" s="7" t="s">
        <v>117</v>
      </c>
      <c r="B52" s="7" t="s">
        <v>176</v>
      </c>
      <c r="C52" s="8">
        <v>44342</v>
      </c>
      <c r="D52" s="7">
        <v>1000</v>
      </c>
      <c r="E52" s="7">
        <v>220</v>
      </c>
    </row>
    <row r="53" spans="1:5">
      <c r="A53" s="7" t="s">
        <v>136</v>
      </c>
      <c r="B53" s="7" t="s">
        <v>171</v>
      </c>
      <c r="C53" s="8">
        <v>44342</v>
      </c>
      <c r="D53" s="7">
        <v>500</v>
      </c>
      <c r="E53" s="7">
        <v>385</v>
      </c>
    </row>
    <row r="54" spans="1:5">
      <c r="A54" s="7" t="s">
        <v>206</v>
      </c>
      <c r="B54" s="7" t="s">
        <v>197</v>
      </c>
      <c r="C54" s="8">
        <v>44342</v>
      </c>
      <c r="D54" s="7">
        <v>3000</v>
      </c>
      <c r="E54" s="7">
        <v>325</v>
      </c>
    </row>
    <row r="55" spans="1:5">
      <c r="A55" s="7" t="s">
        <v>12</v>
      </c>
      <c r="B55" s="7" t="s">
        <v>176</v>
      </c>
      <c r="C55" s="8">
        <v>44347</v>
      </c>
      <c r="D55" s="7">
        <v>2500</v>
      </c>
      <c r="E55" s="7">
        <v>435</v>
      </c>
    </row>
    <row r="56" spans="1:5">
      <c r="A56" s="7" t="s">
        <v>163</v>
      </c>
      <c r="B56" s="7" t="s">
        <v>196</v>
      </c>
      <c r="C56" s="8">
        <v>44347</v>
      </c>
      <c r="D56" s="7">
        <v>4500</v>
      </c>
      <c r="E56" s="7">
        <v>385</v>
      </c>
    </row>
    <row r="57" spans="1:5">
      <c r="A57" s="7" t="s">
        <v>78</v>
      </c>
      <c r="B57" s="7" t="s">
        <v>196</v>
      </c>
      <c r="C57" s="8">
        <v>44347</v>
      </c>
      <c r="D57" s="7">
        <v>2500</v>
      </c>
      <c r="E57" s="7">
        <v>280</v>
      </c>
    </row>
    <row r="58" spans="1:5">
      <c r="A58" s="7" t="s">
        <v>156</v>
      </c>
      <c r="B58" s="7" t="s">
        <v>173</v>
      </c>
      <c r="C58" s="8">
        <v>44347</v>
      </c>
      <c r="D58" s="7">
        <v>4500</v>
      </c>
      <c r="E58" s="7">
        <v>105</v>
      </c>
    </row>
    <row r="59" spans="1:5">
      <c r="A59" s="7" t="s">
        <v>212</v>
      </c>
      <c r="B59" s="7" t="s">
        <v>208</v>
      </c>
      <c r="C59" s="8">
        <v>44347</v>
      </c>
      <c r="D59" s="7">
        <v>4000</v>
      </c>
      <c r="E59" s="7">
        <v>218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6D95-1765-4DB5-A5E8-720159206D16}">
  <dimension ref="A1:G151"/>
  <sheetViews>
    <sheetView workbookViewId="0">
      <selection activeCell="D18" sqref="D18"/>
    </sheetView>
  </sheetViews>
  <sheetFormatPr defaultRowHeight="15.75"/>
  <cols>
    <col min="4" max="4" width="13" bestFit="1" customWidth="1"/>
    <col min="6" max="6" width="15.42578125" bestFit="1" customWidth="1"/>
    <col min="7" max="7" width="15.28515625" customWidth="1"/>
  </cols>
  <sheetData>
    <row r="1" spans="1:7" ht="20.25">
      <c r="A1" s="2" t="s">
        <v>227</v>
      </c>
    </row>
    <row r="2" spans="1:7">
      <c r="A2" s="5" t="s">
        <v>228</v>
      </c>
    </row>
    <row r="3" spans="1:7">
      <c r="A3" s="13" t="s">
        <v>205</v>
      </c>
      <c r="B3" s="13" t="s">
        <v>201</v>
      </c>
      <c r="C3" s="13" t="s">
        <v>170</v>
      </c>
      <c r="D3" s="14" t="s">
        <v>230</v>
      </c>
      <c r="E3" s="14" t="s">
        <v>199</v>
      </c>
      <c r="F3" s="14" t="s">
        <v>249</v>
      </c>
      <c r="G3" s="14" t="s">
        <v>231</v>
      </c>
    </row>
    <row r="4" spans="1:7">
      <c r="A4" s="11" t="s">
        <v>41</v>
      </c>
      <c r="B4" s="11">
        <v>1</v>
      </c>
      <c r="C4" s="11" t="s">
        <v>171</v>
      </c>
      <c r="D4" s="11">
        <v>892</v>
      </c>
      <c r="E4" s="15">
        <v>525</v>
      </c>
      <c r="F4" s="15">
        <v>455120</v>
      </c>
      <c r="G4" s="15">
        <v>397832</v>
      </c>
    </row>
    <row r="5" spans="1:7">
      <c r="A5" s="11" t="s">
        <v>107</v>
      </c>
      <c r="B5" s="11">
        <v>1</v>
      </c>
      <c r="C5" s="11" t="s">
        <v>171</v>
      </c>
      <c r="D5" s="11">
        <v>331</v>
      </c>
      <c r="E5" s="15">
        <v>650</v>
      </c>
      <c r="F5" s="15">
        <v>158412</v>
      </c>
      <c r="G5" s="15">
        <v>182712</v>
      </c>
    </row>
    <row r="6" spans="1:7">
      <c r="A6" s="11" t="s">
        <v>46</v>
      </c>
      <c r="B6" s="11">
        <v>1</v>
      </c>
      <c r="C6" s="11" t="s">
        <v>171</v>
      </c>
      <c r="D6" s="11">
        <v>345</v>
      </c>
      <c r="E6" s="15">
        <v>385</v>
      </c>
      <c r="F6" s="15">
        <v>145710</v>
      </c>
      <c r="G6" s="15">
        <v>132825</v>
      </c>
    </row>
    <row r="7" spans="1:7">
      <c r="A7" s="11" t="s">
        <v>133</v>
      </c>
      <c r="B7" s="11">
        <v>1</v>
      </c>
      <c r="C7" s="11" t="s">
        <v>171</v>
      </c>
      <c r="D7" s="11">
        <v>331</v>
      </c>
      <c r="E7" s="15">
        <v>655</v>
      </c>
      <c r="F7" s="15">
        <v>251928</v>
      </c>
      <c r="G7" s="15">
        <v>216805</v>
      </c>
    </row>
    <row r="8" spans="1:7">
      <c r="A8" s="11" t="s">
        <v>64</v>
      </c>
      <c r="B8" s="11">
        <v>1</v>
      </c>
      <c r="C8" s="11" t="s">
        <v>171</v>
      </c>
      <c r="D8" s="11">
        <v>777</v>
      </c>
      <c r="E8" s="15">
        <v>525</v>
      </c>
      <c r="F8" s="15">
        <v>283818</v>
      </c>
      <c r="G8" s="15">
        <v>346542</v>
      </c>
    </row>
    <row r="9" spans="1:7">
      <c r="A9" s="11" t="s">
        <v>99</v>
      </c>
      <c r="B9" s="11">
        <v>1</v>
      </c>
      <c r="C9" s="11" t="s">
        <v>171</v>
      </c>
      <c r="D9" s="11">
        <v>259</v>
      </c>
      <c r="E9" s="15">
        <v>1420</v>
      </c>
      <c r="F9" s="15">
        <v>221772</v>
      </c>
      <c r="G9" s="15">
        <v>275835</v>
      </c>
    </row>
    <row r="10" spans="1:7">
      <c r="A10" s="11" t="s">
        <v>57</v>
      </c>
      <c r="B10" s="11">
        <v>1</v>
      </c>
      <c r="C10" s="11" t="s">
        <v>171</v>
      </c>
      <c r="D10" s="11">
        <v>907</v>
      </c>
      <c r="E10" s="15">
        <v>199</v>
      </c>
      <c r="F10" s="15">
        <v>125954</v>
      </c>
      <c r="G10" s="15">
        <v>135143</v>
      </c>
    </row>
    <row r="11" spans="1:7">
      <c r="A11" s="11" t="s">
        <v>103</v>
      </c>
      <c r="B11" s="11">
        <v>1</v>
      </c>
      <c r="C11" s="11" t="s">
        <v>171</v>
      </c>
      <c r="D11" s="11">
        <v>849</v>
      </c>
      <c r="E11" s="15">
        <v>425</v>
      </c>
      <c r="F11" s="15">
        <v>210434</v>
      </c>
      <c r="G11" s="15">
        <v>259794</v>
      </c>
    </row>
    <row r="12" spans="1:7">
      <c r="A12" s="11" t="s">
        <v>14</v>
      </c>
      <c r="B12" s="11">
        <v>1</v>
      </c>
      <c r="C12" s="11" t="s">
        <v>171</v>
      </c>
      <c r="D12" s="11">
        <v>820</v>
      </c>
      <c r="E12" s="15">
        <v>865</v>
      </c>
      <c r="F12" s="15">
        <v>818636</v>
      </c>
      <c r="G12" s="15">
        <v>673220</v>
      </c>
    </row>
    <row r="13" spans="1:7">
      <c r="A13" s="12" t="s">
        <v>162</v>
      </c>
      <c r="B13" s="12">
        <v>1</v>
      </c>
      <c r="C13" s="12" t="s">
        <v>196</v>
      </c>
      <c r="D13" s="12">
        <v>1684</v>
      </c>
      <c r="E13" s="16">
        <v>405</v>
      </c>
      <c r="F13" s="16">
        <v>770814</v>
      </c>
      <c r="G13" s="16">
        <v>646656</v>
      </c>
    </row>
    <row r="14" spans="1:7">
      <c r="A14" s="12" t="s">
        <v>86</v>
      </c>
      <c r="B14" s="12">
        <v>2</v>
      </c>
      <c r="C14" s="12" t="s">
        <v>196</v>
      </c>
      <c r="D14" s="12">
        <v>6451</v>
      </c>
      <c r="E14" s="16">
        <v>370</v>
      </c>
      <c r="F14" s="16">
        <v>2191147</v>
      </c>
      <c r="G14" s="16">
        <v>2148183</v>
      </c>
    </row>
    <row r="15" spans="1:7">
      <c r="A15" s="12" t="s">
        <v>82</v>
      </c>
      <c r="B15" s="12">
        <v>1</v>
      </c>
      <c r="C15" s="12" t="s">
        <v>196</v>
      </c>
      <c r="D15" s="12">
        <v>3182</v>
      </c>
      <c r="E15" s="16">
        <v>340</v>
      </c>
      <c r="F15" s="16">
        <v>858580</v>
      </c>
      <c r="G15" s="16">
        <v>865504</v>
      </c>
    </row>
    <row r="16" spans="1:7">
      <c r="A16" s="12" t="s">
        <v>154</v>
      </c>
      <c r="B16" s="12">
        <v>1</v>
      </c>
      <c r="C16" s="12" t="s">
        <v>196</v>
      </c>
      <c r="D16" s="12">
        <v>2491</v>
      </c>
      <c r="E16" s="16">
        <v>630</v>
      </c>
      <c r="F16" s="16">
        <v>1203415</v>
      </c>
      <c r="G16" s="16">
        <v>1332685</v>
      </c>
    </row>
    <row r="17" spans="1:7">
      <c r="A17" s="12" t="s">
        <v>94</v>
      </c>
      <c r="B17" s="12">
        <v>1</v>
      </c>
      <c r="C17" s="12" t="s">
        <v>196</v>
      </c>
      <c r="D17" s="12">
        <v>1022</v>
      </c>
      <c r="E17" s="16">
        <v>520</v>
      </c>
      <c r="F17" s="16">
        <v>368319</v>
      </c>
      <c r="G17" s="16">
        <v>419020</v>
      </c>
    </row>
    <row r="18" spans="1:7">
      <c r="A18" s="12" t="s">
        <v>80</v>
      </c>
      <c r="B18" s="12">
        <v>1</v>
      </c>
      <c r="C18" s="12" t="s">
        <v>196</v>
      </c>
      <c r="D18" s="12">
        <v>2030</v>
      </c>
      <c r="E18" s="16">
        <v>605</v>
      </c>
      <c r="F18" s="16">
        <v>1047712</v>
      </c>
      <c r="G18" s="16">
        <v>968310</v>
      </c>
    </row>
    <row r="19" spans="1:7">
      <c r="A19" s="12" t="s">
        <v>169</v>
      </c>
      <c r="B19" s="12">
        <v>1</v>
      </c>
      <c r="C19" s="12" t="s">
        <v>196</v>
      </c>
      <c r="D19" s="12">
        <v>2102</v>
      </c>
      <c r="E19" s="16">
        <v>255</v>
      </c>
      <c r="F19" s="16">
        <v>433904</v>
      </c>
      <c r="G19" s="16">
        <v>384666</v>
      </c>
    </row>
    <row r="20" spans="1:7">
      <c r="A20" s="12" t="s">
        <v>89</v>
      </c>
      <c r="B20" s="12">
        <v>2</v>
      </c>
      <c r="C20" s="12" t="s">
        <v>196</v>
      </c>
      <c r="D20" s="12">
        <v>6134</v>
      </c>
      <c r="E20" s="16">
        <v>520</v>
      </c>
      <c r="F20" s="16">
        <v>1993587</v>
      </c>
      <c r="G20" s="16">
        <v>2294116</v>
      </c>
    </row>
    <row r="21" spans="1:7">
      <c r="A21" s="12" t="s">
        <v>84</v>
      </c>
      <c r="B21" s="12">
        <v>1</v>
      </c>
      <c r="C21" s="12" t="s">
        <v>196</v>
      </c>
      <c r="D21" s="12">
        <v>4377</v>
      </c>
      <c r="E21" s="16">
        <v>475</v>
      </c>
      <c r="F21" s="16">
        <v>1493315</v>
      </c>
      <c r="G21" s="16">
        <v>1868979</v>
      </c>
    </row>
    <row r="22" spans="1:7">
      <c r="A22" s="12" t="s">
        <v>95</v>
      </c>
      <c r="B22" s="12">
        <v>1</v>
      </c>
      <c r="C22" s="12" t="s">
        <v>196</v>
      </c>
      <c r="D22" s="12">
        <v>2851</v>
      </c>
      <c r="E22" s="16">
        <v>255</v>
      </c>
      <c r="F22" s="16">
        <v>774081</v>
      </c>
      <c r="G22" s="16">
        <v>615816</v>
      </c>
    </row>
    <row r="23" spans="1:7">
      <c r="A23" s="12" t="s">
        <v>74</v>
      </c>
      <c r="B23" s="12">
        <v>1</v>
      </c>
      <c r="C23" s="12" t="s">
        <v>196</v>
      </c>
      <c r="D23" s="12">
        <v>921</v>
      </c>
      <c r="E23" s="16">
        <v>265</v>
      </c>
      <c r="F23" s="16">
        <v>233083</v>
      </c>
      <c r="G23" s="16">
        <v>244065</v>
      </c>
    </row>
    <row r="24" spans="1:7">
      <c r="A24" s="12" t="s">
        <v>90</v>
      </c>
      <c r="B24" s="12">
        <v>2</v>
      </c>
      <c r="C24" s="12" t="s">
        <v>196</v>
      </c>
      <c r="D24" s="12">
        <v>9259</v>
      </c>
      <c r="E24" s="16">
        <v>250</v>
      </c>
      <c r="F24" s="16">
        <v>1530587</v>
      </c>
      <c r="G24" s="16">
        <v>1731433</v>
      </c>
    </row>
    <row r="25" spans="1:7">
      <c r="A25" s="12" t="s">
        <v>149</v>
      </c>
      <c r="B25" s="12">
        <v>3</v>
      </c>
      <c r="C25" s="12" t="s">
        <v>196</v>
      </c>
      <c r="D25" s="12">
        <v>7891</v>
      </c>
      <c r="E25" s="16">
        <v>370</v>
      </c>
      <c r="F25" s="16">
        <v>2744269</v>
      </c>
      <c r="G25" s="16">
        <v>2304172</v>
      </c>
    </row>
    <row r="26" spans="1:7">
      <c r="A26" s="12" t="s">
        <v>96</v>
      </c>
      <c r="B26" s="12">
        <v>1</v>
      </c>
      <c r="C26" s="12" t="s">
        <v>196</v>
      </c>
      <c r="D26" s="12">
        <v>4521</v>
      </c>
      <c r="E26" s="16">
        <v>270</v>
      </c>
      <c r="F26" s="16">
        <v>789367</v>
      </c>
      <c r="G26" s="16">
        <v>877074</v>
      </c>
    </row>
    <row r="27" spans="1:7">
      <c r="A27" s="12" t="s">
        <v>97</v>
      </c>
      <c r="B27" s="12">
        <v>1</v>
      </c>
      <c r="C27" s="12" t="s">
        <v>196</v>
      </c>
      <c r="D27" s="12">
        <v>3859</v>
      </c>
      <c r="E27" s="16">
        <v>225</v>
      </c>
      <c r="F27" s="16">
        <v>643427</v>
      </c>
      <c r="G27" s="16">
        <v>683043</v>
      </c>
    </row>
    <row r="28" spans="1:7">
      <c r="A28" s="12" t="s">
        <v>144</v>
      </c>
      <c r="B28" s="12">
        <v>1</v>
      </c>
      <c r="C28" s="12" t="s">
        <v>196</v>
      </c>
      <c r="D28" s="12">
        <v>4219</v>
      </c>
      <c r="E28" s="16">
        <v>500</v>
      </c>
      <c r="F28" s="16">
        <v>1537404</v>
      </c>
      <c r="G28" s="16">
        <v>1687600</v>
      </c>
    </row>
    <row r="29" spans="1:7">
      <c r="A29" s="12" t="s">
        <v>161</v>
      </c>
      <c r="B29" s="12">
        <v>1</v>
      </c>
      <c r="C29" s="12" t="s">
        <v>196</v>
      </c>
      <c r="D29" s="12">
        <v>3052</v>
      </c>
      <c r="E29" s="16">
        <v>280</v>
      </c>
      <c r="F29" s="16">
        <v>524081</v>
      </c>
      <c r="G29" s="16">
        <v>674492</v>
      </c>
    </row>
    <row r="30" spans="1:7">
      <c r="A30" s="12" t="s">
        <v>159</v>
      </c>
      <c r="B30" s="12">
        <v>3</v>
      </c>
      <c r="C30" s="12" t="s">
        <v>196</v>
      </c>
      <c r="D30" s="12">
        <v>4204</v>
      </c>
      <c r="E30" s="16">
        <v>205</v>
      </c>
      <c r="F30" s="16">
        <v>812213</v>
      </c>
      <c r="G30" s="16">
        <v>773536</v>
      </c>
    </row>
    <row r="31" spans="1:7">
      <c r="A31" s="12" t="s">
        <v>147</v>
      </c>
      <c r="B31" s="12">
        <v>1</v>
      </c>
      <c r="C31" s="12" t="s">
        <v>196</v>
      </c>
      <c r="D31" s="12">
        <v>331</v>
      </c>
      <c r="E31" s="16">
        <v>370</v>
      </c>
      <c r="F31" s="16">
        <v>94333</v>
      </c>
      <c r="G31" s="16">
        <v>96652</v>
      </c>
    </row>
    <row r="32" spans="1:7">
      <c r="A32" s="12" t="s">
        <v>167</v>
      </c>
      <c r="B32" s="12">
        <v>1</v>
      </c>
      <c r="C32" s="12" t="s">
        <v>196</v>
      </c>
      <c r="D32" s="12">
        <v>1224</v>
      </c>
      <c r="E32" s="16">
        <v>345</v>
      </c>
      <c r="F32" s="16">
        <v>294079</v>
      </c>
      <c r="G32" s="16">
        <v>358632</v>
      </c>
    </row>
    <row r="33" spans="1:7">
      <c r="A33" s="12" t="s">
        <v>88</v>
      </c>
      <c r="B33" s="12">
        <v>2</v>
      </c>
      <c r="C33" s="12" t="s">
        <v>196</v>
      </c>
      <c r="D33" s="12">
        <v>6998</v>
      </c>
      <c r="E33" s="16">
        <v>375</v>
      </c>
      <c r="F33" s="16">
        <v>2202271</v>
      </c>
      <c r="G33" s="16">
        <v>2099400</v>
      </c>
    </row>
    <row r="34" spans="1:7">
      <c r="A34" s="12" t="s">
        <v>168</v>
      </c>
      <c r="B34" s="12">
        <v>1</v>
      </c>
      <c r="C34" s="12" t="s">
        <v>196</v>
      </c>
      <c r="D34" s="12">
        <v>3456</v>
      </c>
      <c r="E34" s="16">
        <v>265</v>
      </c>
      <c r="F34" s="16">
        <v>833933</v>
      </c>
      <c r="G34" s="16">
        <v>656640</v>
      </c>
    </row>
    <row r="35" spans="1:7">
      <c r="A35" s="12" t="s">
        <v>121</v>
      </c>
      <c r="B35" s="12">
        <v>2</v>
      </c>
      <c r="C35" s="12" t="s">
        <v>172</v>
      </c>
      <c r="D35" s="12">
        <v>4003</v>
      </c>
      <c r="E35" s="16">
        <v>550</v>
      </c>
      <c r="F35" s="16">
        <v>1456788</v>
      </c>
      <c r="G35" s="16">
        <v>1585188</v>
      </c>
    </row>
    <row r="36" spans="1:7">
      <c r="A36" s="12" t="s">
        <v>115</v>
      </c>
      <c r="B36" s="12">
        <v>2</v>
      </c>
      <c r="C36" s="12" t="s">
        <v>172</v>
      </c>
      <c r="D36" s="12">
        <v>9691</v>
      </c>
      <c r="E36" s="16">
        <v>710</v>
      </c>
      <c r="F36" s="16">
        <v>6436375</v>
      </c>
      <c r="G36" s="16">
        <v>5426960</v>
      </c>
    </row>
    <row r="37" spans="1:7">
      <c r="A37" s="11" t="s">
        <v>2</v>
      </c>
      <c r="B37" s="11">
        <v>1</v>
      </c>
      <c r="C37" s="11" t="s">
        <v>172</v>
      </c>
      <c r="D37" s="11">
        <v>2102</v>
      </c>
      <c r="E37" s="15">
        <v>400</v>
      </c>
      <c r="F37" s="15">
        <v>824977</v>
      </c>
      <c r="G37" s="15">
        <v>664232</v>
      </c>
    </row>
    <row r="38" spans="1:7">
      <c r="A38" s="11" t="s">
        <v>148</v>
      </c>
      <c r="B38" s="11">
        <v>1</v>
      </c>
      <c r="C38" s="11" t="s">
        <v>172</v>
      </c>
      <c r="D38" s="11">
        <v>4665</v>
      </c>
      <c r="E38" s="15">
        <v>400</v>
      </c>
      <c r="F38" s="15">
        <v>1166176</v>
      </c>
      <c r="G38" s="15">
        <v>1343520</v>
      </c>
    </row>
    <row r="39" spans="1:7">
      <c r="A39" s="11" t="s">
        <v>34</v>
      </c>
      <c r="B39" s="11">
        <v>2</v>
      </c>
      <c r="C39" s="11" t="s">
        <v>172</v>
      </c>
      <c r="D39" s="11">
        <v>5284</v>
      </c>
      <c r="E39" s="15">
        <v>640</v>
      </c>
      <c r="F39" s="15">
        <v>3332857</v>
      </c>
      <c r="G39" s="15">
        <v>2668420</v>
      </c>
    </row>
    <row r="40" spans="1:7">
      <c r="A40" s="11" t="s">
        <v>129</v>
      </c>
      <c r="B40" s="11">
        <v>1</v>
      </c>
      <c r="C40" s="11" t="s">
        <v>172</v>
      </c>
      <c r="D40" s="11">
        <v>4737</v>
      </c>
      <c r="E40" s="15">
        <v>400</v>
      </c>
      <c r="F40" s="15">
        <v>1306787</v>
      </c>
      <c r="G40" s="15">
        <v>1496892</v>
      </c>
    </row>
    <row r="41" spans="1:7">
      <c r="A41" s="11" t="s">
        <v>83</v>
      </c>
      <c r="B41" s="11">
        <v>2</v>
      </c>
      <c r="C41" s="11" t="s">
        <v>172</v>
      </c>
      <c r="D41" s="11">
        <v>5587</v>
      </c>
      <c r="E41" s="15">
        <v>420</v>
      </c>
      <c r="F41" s="15">
        <v>2822184</v>
      </c>
      <c r="G41" s="15">
        <v>2229213</v>
      </c>
    </row>
    <row r="42" spans="1:7">
      <c r="A42" s="11" t="s">
        <v>25</v>
      </c>
      <c r="B42" s="11">
        <v>2</v>
      </c>
      <c r="C42" s="11" t="s">
        <v>172</v>
      </c>
      <c r="D42" s="11">
        <v>5601</v>
      </c>
      <c r="E42" s="15">
        <v>480</v>
      </c>
      <c r="F42" s="15">
        <v>3048737</v>
      </c>
      <c r="G42" s="15">
        <v>2688480</v>
      </c>
    </row>
    <row r="43" spans="1:7">
      <c r="A43" s="11" t="s">
        <v>42</v>
      </c>
      <c r="B43" s="11">
        <v>1</v>
      </c>
      <c r="C43" s="11" t="s">
        <v>172</v>
      </c>
      <c r="D43" s="11">
        <v>403</v>
      </c>
      <c r="E43" s="15">
        <v>720</v>
      </c>
      <c r="F43" s="15">
        <v>206701</v>
      </c>
      <c r="G43" s="15">
        <v>228904</v>
      </c>
    </row>
    <row r="44" spans="1:7">
      <c r="A44" s="11" t="s">
        <v>3</v>
      </c>
      <c r="B44" s="11">
        <v>2</v>
      </c>
      <c r="C44" s="11" t="s">
        <v>172</v>
      </c>
      <c r="D44" s="11">
        <v>7934</v>
      </c>
      <c r="E44" s="15">
        <v>650</v>
      </c>
      <c r="F44" s="15">
        <v>3683479</v>
      </c>
      <c r="G44" s="15">
        <v>4070142</v>
      </c>
    </row>
    <row r="45" spans="1:7">
      <c r="A45" s="11" t="s">
        <v>157</v>
      </c>
      <c r="B45" s="11">
        <v>1</v>
      </c>
      <c r="C45" s="11" t="s">
        <v>172</v>
      </c>
      <c r="D45" s="11">
        <v>2793</v>
      </c>
      <c r="E45" s="15">
        <v>590</v>
      </c>
      <c r="F45" s="15">
        <v>1297634</v>
      </c>
      <c r="G45" s="15">
        <v>1301538</v>
      </c>
    </row>
    <row r="46" spans="1:7">
      <c r="A46" s="11" t="s">
        <v>87</v>
      </c>
      <c r="B46" s="11">
        <v>1</v>
      </c>
      <c r="C46" s="11" t="s">
        <v>172</v>
      </c>
      <c r="D46" s="11">
        <v>3456</v>
      </c>
      <c r="E46" s="15">
        <v>470</v>
      </c>
      <c r="F46" s="15">
        <v>1640564</v>
      </c>
      <c r="G46" s="15">
        <v>1624320</v>
      </c>
    </row>
    <row r="47" spans="1:7">
      <c r="A47" s="11" t="s">
        <v>1</v>
      </c>
      <c r="B47" s="11">
        <v>2</v>
      </c>
      <c r="C47" s="11" t="s">
        <v>172</v>
      </c>
      <c r="D47" s="11">
        <v>5961</v>
      </c>
      <c r="E47" s="15">
        <v>690</v>
      </c>
      <c r="F47" s="15">
        <v>3680829</v>
      </c>
      <c r="G47" s="15">
        <v>3248745</v>
      </c>
    </row>
    <row r="48" spans="1:7">
      <c r="A48" s="11" t="s">
        <v>108</v>
      </c>
      <c r="B48" s="11">
        <v>1</v>
      </c>
      <c r="C48" s="11" t="s">
        <v>172</v>
      </c>
      <c r="D48" s="11">
        <v>1483</v>
      </c>
      <c r="E48" s="15">
        <v>410</v>
      </c>
      <c r="F48" s="15">
        <v>470734</v>
      </c>
      <c r="G48" s="15">
        <v>437485</v>
      </c>
    </row>
    <row r="49" spans="1:7">
      <c r="A49" s="11" t="s">
        <v>93</v>
      </c>
      <c r="B49" s="11">
        <v>3</v>
      </c>
      <c r="C49" s="11" t="s">
        <v>172</v>
      </c>
      <c r="D49" s="11">
        <v>5371</v>
      </c>
      <c r="E49" s="15">
        <v>670</v>
      </c>
      <c r="F49" s="15">
        <v>2495625</v>
      </c>
      <c r="G49" s="15">
        <v>2588822</v>
      </c>
    </row>
    <row r="50" spans="1:7">
      <c r="A50" s="11" t="s">
        <v>81</v>
      </c>
      <c r="B50" s="11">
        <v>2</v>
      </c>
      <c r="C50" s="11" t="s">
        <v>172</v>
      </c>
      <c r="D50" s="11">
        <v>6062</v>
      </c>
      <c r="E50" s="15">
        <v>620</v>
      </c>
      <c r="F50" s="15">
        <v>4310931</v>
      </c>
      <c r="G50" s="15">
        <v>3758440</v>
      </c>
    </row>
    <row r="51" spans="1:7">
      <c r="A51" s="11" t="s">
        <v>137</v>
      </c>
      <c r="B51" s="11">
        <v>5</v>
      </c>
      <c r="C51" s="11" t="s">
        <v>172</v>
      </c>
      <c r="D51" s="11">
        <v>11880</v>
      </c>
      <c r="E51" s="15">
        <v>700</v>
      </c>
      <c r="F51" s="15">
        <v>6831761</v>
      </c>
      <c r="G51" s="15">
        <v>5987520</v>
      </c>
    </row>
    <row r="52" spans="1:7">
      <c r="A52" s="11" t="s">
        <v>67</v>
      </c>
      <c r="B52" s="11">
        <v>1</v>
      </c>
      <c r="C52" s="11" t="s">
        <v>172</v>
      </c>
      <c r="D52" s="11">
        <v>2620</v>
      </c>
      <c r="E52" s="15">
        <v>690</v>
      </c>
      <c r="F52" s="15">
        <v>1308486</v>
      </c>
      <c r="G52" s="15">
        <v>1354540</v>
      </c>
    </row>
    <row r="53" spans="1:7">
      <c r="A53" s="11" t="s">
        <v>100</v>
      </c>
      <c r="B53" s="11">
        <v>1</v>
      </c>
      <c r="C53" s="11" t="s">
        <v>172</v>
      </c>
      <c r="D53" s="11">
        <v>748</v>
      </c>
      <c r="E53" s="15">
        <v>450</v>
      </c>
      <c r="F53" s="15">
        <v>335254</v>
      </c>
      <c r="G53" s="15">
        <v>269280</v>
      </c>
    </row>
    <row r="54" spans="1:7">
      <c r="A54" s="11" t="s">
        <v>160</v>
      </c>
      <c r="B54" s="11">
        <v>2</v>
      </c>
      <c r="C54" s="11" t="s">
        <v>172</v>
      </c>
      <c r="D54" s="11">
        <v>11289</v>
      </c>
      <c r="E54" s="15">
        <v>390</v>
      </c>
      <c r="F54" s="15">
        <v>3752013</v>
      </c>
      <c r="G54" s="15">
        <v>3160920</v>
      </c>
    </row>
    <row r="55" spans="1:7">
      <c r="A55" s="11" t="s">
        <v>4</v>
      </c>
      <c r="B55" s="11">
        <v>1</v>
      </c>
      <c r="C55" s="11" t="s">
        <v>172</v>
      </c>
      <c r="D55" s="11">
        <v>6739</v>
      </c>
      <c r="E55" s="15">
        <v>640</v>
      </c>
      <c r="F55" s="15">
        <v>4440624</v>
      </c>
      <c r="G55" s="15">
        <v>3450368</v>
      </c>
    </row>
    <row r="56" spans="1:7">
      <c r="A56" s="11" t="s">
        <v>158</v>
      </c>
      <c r="B56" s="11">
        <v>2</v>
      </c>
      <c r="C56" s="11" t="s">
        <v>172</v>
      </c>
      <c r="D56" s="11">
        <v>14198</v>
      </c>
      <c r="E56" s="15">
        <v>500</v>
      </c>
      <c r="F56" s="15">
        <v>8824057</v>
      </c>
      <c r="G56" s="15">
        <v>7099000</v>
      </c>
    </row>
    <row r="57" spans="1:7">
      <c r="A57" s="11" t="s">
        <v>38</v>
      </c>
      <c r="B57" s="11">
        <v>1</v>
      </c>
      <c r="C57" s="11" t="s">
        <v>172</v>
      </c>
      <c r="D57" s="11">
        <v>4348</v>
      </c>
      <c r="E57" s="15">
        <v>460</v>
      </c>
      <c r="F57" s="15">
        <v>1479486</v>
      </c>
      <c r="G57" s="15">
        <v>1439188</v>
      </c>
    </row>
    <row r="58" spans="1:7">
      <c r="A58" s="11" t="s">
        <v>47</v>
      </c>
      <c r="B58" s="11">
        <v>1</v>
      </c>
      <c r="C58" s="11" t="s">
        <v>172</v>
      </c>
      <c r="D58" s="11">
        <v>1987</v>
      </c>
      <c r="E58" s="15">
        <v>720</v>
      </c>
      <c r="F58" s="15">
        <v>1143515</v>
      </c>
      <c r="G58" s="15">
        <v>1029266</v>
      </c>
    </row>
    <row r="59" spans="1:7">
      <c r="A59" s="11" t="s">
        <v>155</v>
      </c>
      <c r="B59" s="11">
        <v>1</v>
      </c>
      <c r="C59" s="11" t="s">
        <v>172</v>
      </c>
      <c r="D59" s="11">
        <v>5486</v>
      </c>
      <c r="E59" s="15">
        <v>460</v>
      </c>
      <c r="F59" s="15">
        <v>1948425</v>
      </c>
      <c r="G59" s="15">
        <v>1815866</v>
      </c>
    </row>
    <row r="60" spans="1:7">
      <c r="A60" s="11" t="s">
        <v>55</v>
      </c>
      <c r="B60" s="11">
        <v>6</v>
      </c>
      <c r="C60" s="11" t="s">
        <v>172</v>
      </c>
      <c r="D60" s="11">
        <v>8452</v>
      </c>
      <c r="E60" s="15">
        <v>670</v>
      </c>
      <c r="F60" s="15">
        <v>3759213</v>
      </c>
      <c r="G60" s="15">
        <v>4242904</v>
      </c>
    </row>
    <row r="61" spans="1:7">
      <c r="A61" s="11" t="s">
        <v>15</v>
      </c>
      <c r="B61" s="11">
        <v>2</v>
      </c>
      <c r="C61" s="11" t="s">
        <v>172</v>
      </c>
      <c r="D61" s="11">
        <v>3211</v>
      </c>
      <c r="E61" s="15">
        <v>600</v>
      </c>
      <c r="F61" s="15">
        <v>2276856</v>
      </c>
      <c r="G61" s="15">
        <v>1830270</v>
      </c>
    </row>
    <row r="62" spans="1:7">
      <c r="A62" s="11" t="s">
        <v>85</v>
      </c>
      <c r="B62" s="11">
        <v>1</v>
      </c>
      <c r="C62" s="11" t="s">
        <v>172</v>
      </c>
      <c r="D62" s="11">
        <v>3484</v>
      </c>
      <c r="E62" s="15">
        <v>620</v>
      </c>
      <c r="F62" s="15">
        <v>1891583</v>
      </c>
      <c r="G62" s="15">
        <v>1944072</v>
      </c>
    </row>
    <row r="63" spans="1:7">
      <c r="A63" s="11" t="s">
        <v>19</v>
      </c>
      <c r="B63" s="11">
        <v>1</v>
      </c>
      <c r="C63" s="11" t="s">
        <v>172</v>
      </c>
      <c r="D63" s="11">
        <v>4564</v>
      </c>
      <c r="E63" s="15">
        <v>630</v>
      </c>
      <c r="F63" s="15">
        <v>1785159</v>
      </c>
      <c r="G63" s="15">
        <v>2268308</v>
      </c>
    </row>
    <row r="64" spans="1:7">
      <c r="A64" s="11" t="s">
        <v>164</v>
      </c>
      <c r="B64" s="11">
        <v>3</v>
      </c>
      <c r="C64" s="11" t="s">
        <v>172</v>
      </c>
      <c r="D64" s="11">
        <v>8942</v>
      </c>
      <c r="E64" s="15">
        <v>700</v>
      </c>
      <c r="F64" s="15">
        <v>5399109</v>
      </c>
      <c r="G64" s="15">
        <v>4506768</v>
      </c>
    </row>
    <row r="65" spans="1:7">
      <c r="A65" s="11" t="s">
        <v>140</v>
      </c>
      <c r="B65" s="11">
        <v>2</v>
      </c>
      <c r="C65" s="11" t="s">
        <v>172</v>
      </c>
      <c r="D65" s="11">
        <v>5068</v>
      </c>
      <c r="E65" s="15">
        <v>600</v>
      </c>
      <c r="F65" s="15">
        <v>3487798</v>
      </c>
      <c r="G65" s="15">
        <v>3040800</v>
      </c>
    </row>
    <row r="66" spans="1:7">
      <c r="A66" s="11" t="s">
        <v>73</v>
      </c>
      <c r="B66" s="11">
        <v>1</v>
      </c>
      <c r="C66" s="11" t="s">
        <v>172</v>
      </c>
      <c r="D66" s="11">
        <v>2995</v>
      </c>
      <c r="E66" s="15">
        <v>440</v>
      </c>
      <c r="F66" s="15">
        <v>1143521</v>
      </c>
      <c r="G66" s="15">
        <v>988350</v>
      </c>
    </row>
    <row r="67" spans="1:7">
      <c r="A67" s="12" t="s">
        <v>134</v>
      </c>
      <c r="B67" s="12">
        <v>1</v>
      </c>
      <c r="C67" s="12" t="s">
        <v>173</v>
      </c>
      <c r="D67" s="12">
        <v>4521</v>
      </c>
      <c r="E67" s="16">
        <v>150</v>
      </c>
      <c r="F67" s="16">
        <v>553371</v>
      </c>
      <c r="G67" s="16">
        <v>678150</v>
      </c>
    </row>
    <row r="68" spans="1:7">
      <c r="A68" s="12" t="s">
        <v>48</v>
      </c>
      <c r="B68" s="12">
        <v>1</v>
      </c>
      <c r="C68" s="12" t="s">
        <v>173</v>
      </c>
      <c r="D68" s="12">
        <v>6120</v>
      </c>
      <c r="E68" s="16">
        <v>130</v>
      </c>
      <c r="F68" s="16">
        <v>892664</v>
      </c>
      <c r="G68" s="16">
        <v>795600</v>
      </c>
    </row>
    <row r="69" spans="1:7">
      <c r="A69" s="12" t="s">
        <v>119</v>
      </c>
      <c r="B69" s="12">
        <v>1</v>
      </c>
      <c r="C69" s="12" t="s">
        <v>173</v>
      </c>
      <c r="D69" s="12">
        <v>1497</v>
      </c>
      <c r="E69" s="16">
        <v>220</v>
      </c>
      <c r="F69" s="16">
        <v>316167</v>
      </c>
      <c r="G69" s="16">
        <v>329340</v>
      </c>
    </row>
    <row r="70" spans="1:7">
      <c r="A70" s="12" t="s">
        <v>151</v>
      </c>
      <c r="B70" s="12">
        <v>2</v>
      </c>
      <c r="C70" s="12" t="s">
        <v>173</v>
      </c>
      <c r="D70" s="12">
        <v>7588</v>
      </c>
      <c r="E70" s="16">
        <v>170</v>
      </c>
      <c r="F70" s="16">
        <v>966469</v>
      </c>
      <c r="G70" s="16">
        <v>925736</v>
      </c>
    </row>
    <row r="71" spans="1:7">
      <c r="A71" s="12" t="s">
        <v>146</v>
      </c>
      <c r="B71" s="12">
        <v>1</v>
      </c>
      <c r="C71" s="12" t="s">
        <v>173</v>
      </c>
      <c r="D71" s="12">
        <v>1195</v>
      </c>
      <c r="E71" s="16">
        <v>130</v>
      </c>
      <c r="F71" s="16">
        <v>158131</v>
      </c>
      <c r="G71" s="16">
        <v>139815</v>
      </c>
    </row>
    <row r="72" spans="1:7">
      <c r="A72" s="12" t="s">
        <v>68</v>
      </c>
      <c r="B72" s="12">
        <v>2</v>
      </c>
      <c r="C72" s="12" t="s">
        <v>173</v>
      </c>
      <c r="D72" s="12">
        <v>4334</v>
      </c>
      <c r="E72" s="16">
        <v>140</v>
      </c>
      <c r="F72" s="16">
        <v>508708</v>
      </c>
      <c r="G72" s="16">
        <v>485408</v>
      </c>
    </row>
    <row r="73" spans="1:7">
      <c r="A73" s="12" t="s">
        <v>71</v>
      </c>
      <c r="B73" s="12">
        <v>1</v>
      </c>
      <c r="C73" s="12" t="s">
        <v>173</v>
      </c>
      <c r="D73" s="12">
        <v>3225</v>
      </c>
      <c r="E73" s="16">
        <v>230</v>
      </c>
      <c r="F73" s="16">
        <v>614663</v>
      </c>
      <c r="G73" s="16">
        <v>583725</v>
      </c>
    </row>
    <row r="74" spans="1:7">
      <c r="A74" s="12" t="s">
        <v>101</v>
      </c>
      <c r="B74" s="12">
        <v>1</v>
      </c>
      <c r="C74" s="12" t="s">
        <v>173</v>
      </c>
      <c r="D74" s="12">
        <v>3484</v>
      </c>
      <c r="E74" s="16">
        <v>140</v>
      </c>
      <c r="F74" s="16">
        <v>451496</v>
      </c>
      <c r="G74" s="16">
        <v>414596</v>
      </c>
    </row>
    <row r="75" spans="1:7">
      <c r="A75" s="12" t="s">
        <v>58</v>
      </c>
      <c r="B75" s="12">
        <v>3</v>
      </c>
      <c r="C75" s="12" t="s">
        <v>173</v>
      </c>
      <c r="D75" s="12">
        <v>5500</v>
      </c>
      <c r="E75" s="16">
        <v>140</v>
      </c>
      <c r="F75" s="16">
        <v>629805</v>
      </c>
      <c r="G75" s="16">
        <v>605000</v>
      </c>
    </row>
    <row r="76" spans="1:7">
      <c r="A76" s="12" t="s">
        <v>77</v>
      </c>
      <c r="B76" s="12">
        <v>1</v>
      </c>
      <c r="C76" s="12" t="s">
        <v>173</v>
      </c>
      <c r="D76" s="12">
        <v>1756</v>
      </c>
      <c r="E76" s="16">
        <v>290</v>
      </c>
      <c r="F76" s="16">
        <v>473300</v>
      </c>
      <c r="G76" s="16">
        <v>402124</v>
      </c>
    </row>
    <row r="77" spans="1:7">
      <c r="A77" s="12" t="s">
        <v>8</v>
      </c>
      <c r="B77" s="12">
        <v>1</v>
      </c>
      <c r="C77" s="12" t="s">
        <v>173</v>
      </c>
      <c r="D77" s="12">
        <v>4060</v>
      </c>
      <c r="E77" s="16">
        <v>270</v>
      </c>
      <c r="F77" s="16">
        <v>860457</v>
      </c>
      <c r="G77" s="16">
        <v>864780</v>
      </c>
    </row>
    <row r="78" spans="1:7">
      <c r="A78" s="12" t="s">
        <v>39</v>
      </c>
      <c r="B78" s="12">
        <v>1</v>
      </c>
      <c r="C78" s="12" t="s">
        <v>173</v>
      </c>
      <c r="D78" s="12">
        <v>662</v>
      </c>
      <c r="E78" s="16">
        <v>120</v>
      </c>
      <c r="F78" s="16">
        <v>93025</v>
      </c>
      <c r="G78" s="16">
        <v>79440</v>
      </c>
    </row>
    <row r="79" spans="1:7">
      <c r="A79" s="12" t="s">
        <v>7</v>
      </c>
      <c r="B79" s="12">
        <v>1</v>
      </c>
      <c r="C79" s="12" t="s">
        <v>173</v>
      </c>
      <c r="D79" s="12">
        <v>2865</v>
      </c>
      <c r="E79" s="16">
        <v>210</v>
      </c>
      <c r="F79" s="16">
        <v>527309</v>
      </c>
      <c r="G79" s="16">
        <v>509970</v>
      </c>
    </row>
    <row r="80" spans="1:7">
      <c r="A80" s="12" t="s">
        <v>70</v>
      </c>
      <c r="B80" s="12">
        <v>1</v>
      </c>
      <c r="C80" s="12" t="s">
        <v>173</v>
      </c>
      <c r="D80" s="12">
        <v>1396</v>
      </c>
      <c r="E80" s="16">
        <v>180</v>
      </c>
      <c r="F80" s="16">
        <v>202055</v>
      </c>
      <c r="G80" s="16">
        <v>180084</v>
      </c>
    </row>
    <row r="81" spans="1:7">
      <c r="A81" s="12" t="s">
        <v>109</v>
      </c>
      <c r="B81" s="12">
        <v>2</v>
      </c>
      <c r="C81" s="12" t="s">
        <v>173</v>
      </c>
      <c r="D81" s="12">
        <v>5932</v>
      </c>
      <c r="E81" s="16">
        <v>300</v>
      </c>
      <c r="F81" s="16">
        <v>1487604</v>
      </c>
      <c r="G81" s="16">
        <v>1281312</v>
      </c>
    </row>
    <row r="82" spans="1:7">
      <c r="A82" s="12" t="s">
        <v>62</v>
      </c>
      <c r="B82" s="12">
        <v>2</v>
      </c>
      <c r="C82" s="12" t="s">
        <v>173</v>
      </c>
      <c r="D82" s="12">
        <v>8481</v>
      </c>
      <c r="E82" s="16">
        <v>260</v>
      </c>
      <c r="F82" s="16">
        <v>1649385</v>
      </c>
      <c r="G82" s="16">
        <v>1764048</v>
      </c>
    </row>
    <row r="83" spans="1:7">
      <c r="A83" s="12" t="s">
        <v>43</v>
      </c>
      <c r="B83" s="12">
        <v>1</v>
      </c>
      <c r="C83" s="12" t="s">
        <v>173</v>
      </c>
      <c r="D83" s="12">
        <v>3052</v>
      </c>
      <c r="E83" s="16">
        <v>270</v>
      </c>
      <c r="F83" s="16">
        <v>581168</v>
      </c>
      <c r="G83" s="16">
        <v>650076</v>
      </c>
    </row>
    <row r="84" spans="1:7">
      <c r="A84" s="12" t="s">
        <v>20</v>
      </c>
      <c r="B84" s="12">
        <v>1</v>
      </c>
      <c r="C84" s="12" t="s">
        <v>173</v>
      </c>
      <c r="D84" s="12">
        <v>3888</v>
      </c>
      <c r="E84" s="16">
        <v>270</v>
      </c>
      <c r="F84" s="16">
        <v>914551</v>
      </c>
      <c r="G84" s="16">
        <v>944784</v>
      </c>
    </row>
    <row r="85" spans="1:7">
      <c r="A85" s="12" t="s">
        <v>98</v>
      </c>
      <c r="B85" s="12">
        <v>1</v>
      </c>
      <c r="C85" s="12" t="s">
        <v>173</v>
      </c>
      <c r="D85" s="12">
        <v>1368</v>
      </c>
      <c r="E85" s="16">
        <v>250</v>
      </c>
      <c r="F85" s="16">
        <v>269715</v>
      </c>
      <c r="G85" s="16">
        <v>290016</v>
      </c>
    </row>
    <row r="86" spans="1:7">
      <c r="A86" s="12" t="s">
        <v>141</v>
      </c>
      <c r="B86" s="12">
        <v>1</v>
      </c>
      <c r="C86" s="12" t="s">
        <v>173</v>
      </c>
      <c r="D86" s="12">
        <v>1814</v>
      </c>
      <c r="E86" s="16">
        <v>210</v>
      </c>
      <c r="F86" s="16">
        <v>411886</v>
      </c>
      <c r="G86" s="16">
        <v>360986</v>
      </c>
    </row>
    <row r="87" spans="1:7">
      <c r="A87" s="12" t="s">
        <v>52</v>
      </c>
      <c r="B87" s="12">
        <v>1</v>
      </c>
      <c r="C87" s="12" t="s">
        <v>173</v>
      </c>
      <c r="D87" s="12">
        <v>2548</v>
      </c>
      <c r="E87" s="16">
        <v>240</v>
      </c>
      <c r="F87" s="16">
        <v>476619</v>
      </c>
      <c r="G87" s="16">
        <v>550368</v>
      </c>
    </row>
    <row r="88" spans="1:7">
      <c r="A88" s="12" t="s">
        <v>130</v>
      </c>
      <c r="B88" s="12">
        <v>4</v>
      </c>
      <c r="C88" s="12" t="s">
        <v>173</v>
      </c>
      <c r="D88" s="12">
        <v>9619</v>
      </c>
      <c r="E88" s="16">
        <v>120</v>
      </c>
      <c r="F88" s="16">
        <v>1019922</v>
      </c>
      <c r="G88" s="16">
        <v>904186</v>
      </c>
    </row>
    <row r="89" spans="1:7">
      <c r="A89" s="12" t="s">
        <v>35</v>
      </c>
      <c r="B89" s="12">
        <v>3</v>
      </c>
      <c r="C89" s="12" t="s">
        <v>173</v>
      </c>
      <c r="D89" s="12">
        <v>6998</v>
      </c>
      <c r="E89" s="16">
        <v>180</v>
      </c>
      <c r="F89" s="16">
        <v>1183495</v>
      </c>
      <c r="G89" s="16">
        <v>1196658</v>
      </c>
    </row>
    <row r="90" spans="1:7">
      <c r="A90" s="12" t="s">
        <v>79</v>
      </c>
      <c r="B90" s="12">
        <v>1</v>
      </c>
      <c r="C90" s="12" t="s">
        <v>173</v>
      </c>
      <c r="D90" s="12">
        <v>763</v>
      </c>
      <c r="E90" s="16">
        <v>170</v>
      </c>
      <c r="F90" s="16">
        <v>95188</v>
      </c>
      <c r="G90" s="16">
        <v>102242</v>
      </c>
    </row>
    <row r="91" spans="1:7">
      <c r="A91" s="12" t="s">
        <v>116</v>
      </c>
      <c r="B91" s="12">
        <v>1</v>
      </c>
      <c r="C91" s="12" t="s">
        <v>173</v>
      </c>
      <c r="D91" s="12">
        <v>3873</v>
      </c>
      <c r="E91" s="16">
        <v>260</v>
      </c>
      <c r="F91" s="16">
        <v>654789</v>
      </c>
      <c r="G91" s="16">
        <v>755235</v>
      </c>
    </row>
    <row r="92" spans="1:7">
      <c r="A92" s="12" t="s">
        <v>65</v>
      </c>
      <c r="B92" s="12">
        <v>1</v>
      </c>
      <c r="C92" s="12" t="s">
        <v>173</v>
      </c>
      <c r="D92" s="12">
        <v>4464</v>
      </c>
      <c r="E92" s="16">
        <v>180</v>
      </c>
      <c r="F92" s="16">
        <v>722526</v>
      </c>
      <c r="G92" s="16">
        <v>642816</v>
      </c>
    </row>
    <row r="93" spans="1:7">
      <c r="A93" s="12" t="s">
        <v>125</v>
      </c>
      <c r="B93" s="12">
        <v>1</v>
      </c>
      <c r="C93" s="12" t="s">
        <v>173</v>
      </c>
      <c r="D93" s="12">
        <v>3614</v>
      </c>
      <c r="E93" s="16">
        <v>150</v>
      </c>
      <c r="F93" s="16">
        <v>465404</v>
      </c>
      <c r="G93" s="16">
        <v>458978</v>
      </c>
    </row>
    <row r="94" spans="1:7">
      <c r="A94" s="12" t="s">
        <v>122</v>
      </c>
      <c r="B94" s="12">
        <v>1</v>
      </c>
      <c r="C94" s="12" t="s">
        <v>173</v>
      </c>
      <c r="D94" s="12">
        <v>2102</v>
      </c>
      <c r="E94" s="16">
        <v>200</v>
      </c>
      <c r="F94" s="16">
        <v>511207</v>
      </c>
      <c r="G94" s="16">
        <v>399380</v>
      </c>
    </row>
    <row r="95" spans="1:7">
      <c r="A95" s="11" t="s">
        <v>138</v>
      </c>
      <c r="B95" s="11">
        <v>1</v>
      </c>
      <c r="C95" s="11" t="s">
        <v>174</v>
      </c>
      <c r="D95" s="11">
        <v>792</v>
      </c>
      <c r="E95" s="15">
        <v>185</v>
      </c>
      <c r="F95" s="15">
        <v>107548</v>
      </c>
      <c r="G95" s="15">
        <v>109296</v>
      </c>
    </row>
    <row r="96" spans="1:7">
      <c r="A96" s="11" t="s">
        <v>123</v>
      </c>
      <c r="B96" s="11">
        <v>1</v>
      </c>
      <c r="C96" s="11" t="s">
        <v>174</v>
      </c>
      <c r="D96" s="11">
        <v>1108</v>
      </c>
      <c r="E96" s="15">
        <v>315</v>
      </c>
      <c r="F96" s="15">
        <v>418126</v>
      </c>
      <c r="G96" s="15">
        <v>349020</v>
      </c>
    </row>
    <row r="97" spans="1:7">
      <c r="A97" s="11" t="s">
        <v>53</v>
      </c>
      <c r="B97" s="11">
        <v>1</v>
      </c>
      <c r="C97" s="11" t="s">
        <v>174</v>
      </c>
      <c r="D97" s="11">
        <v>1468</v>
      </c>
      <c r="E97" s="15">
        <v>280</v>
      </c>
      <c r="F97" s="15">
        <v>304511</v>
      </c>
      <c r="G97" s="15">
        <v>295068</v>
      </c>
    </row>
    <row r="98" spans="1:7">
      <c r="A98" s="11" t="s">
        <v>17</v>
      </c>
      <c r="B98" s="11">
        <v>1</v>
      </c>
      <c r="C98" s="11" t="s">
        <v>174</v>
      </c>
      <c r="D98" s="11">
        <v>892</v>
      </c>
      <c r="E98" s="15">
        <v>320</v>
      </c>
      <c r="F98" s="15">
        <v>230493</v>
      </c>
      <c r="G98" s="15">
        <v>242624</v>
      </c>
    </row>
    <row r="99" spans="1:7">
      <c r="A99" s="11" t="s">
        <v>126</v>
      </c>
      <c r="B99" s="11">
        <v>1</v>
      </c>
      <c r="C99" s="11" t="s">
        <v>174</v>
      </c>
      <c r="D99" s="11">
        <v>244</v>
      </c>
      <c r="E99" s="15">
        <v>254</v>
      </c>
      <c r="F99" s="15">
        <v>48410</v>
      </c>
      <c r="G99" s="15">
        <v>48800</v>
      </c>
    </row>
    <row r="100" spans="1:7">
      <c r="A100" s="11" t="s">
        <v>59</v>
      </c>
      <c r="B100" s="11">
        <v>1</v>
      </c>
      <c r="C100" s="11" t="s">
        <v>174</v>
      </c>
      <c r="D100" s="11">
        <v>2664</v>
      </c>
      <c r="E100" s="15">
        <v>175</v>
      </c>
      <c r="F100" s="15">
        <v>386014</v>
      </c>
      <c r="G100" s="15">
        <v>372960</v>
      </c>
    </row>
    <row r="101" spans="1:7">
      <c r="A101" s="11" t="s">
        <v>40</v>
      </c>
      <c r="B101" s="11">
        <v>1</v>
      </c>
      <c r="C101" s="11" t="s">
        <v>174</v>
      </c>
      <c r="D101" s="11">
        <v>518</v>
      </c>
      <c r="E101" s="15">
        <v>285</v>
      </c>
      <c r="F101" s="15">
        <v>119878</v>
      </c>
      <c r="G101" s="15">
        <v>132608</v>
      </c>
    </row>
    <row r="102" spans="1:7">
      <c r="A102" s="11" t="s">
        <v>131</v>
      </c>
      <c r="B102" s="11">
        <v>1</v>
      </c>
      <c r="C102" s="11" t="s">
        <v>174</v>
      </c>
      <c r="D102" s="11">
        <v>691</v>
      </c>
      <c r="E102" s="15">
        <v>315</v>
      </c>
      <c r="F102" s="15">
        <v>146676</v>
      </c>
      <c r="G102" s="15">
        <v>184497</v>
      </c>
    </row>
    <row r="103" spans="1:7">
      <c r="A103" s="11" t="s">
        <v>49</v>
      </c>
      <c r="B103" s="11">
        <v>1</v>
      </c>
      <c r="C103" s="11" t="s">
        <v>174</v>
      </c>
      <c r="D103" s="11">
        <v>835</v>
      </c>
      <c r="E103" s="15">
        <v>220</v>
      </c>
      <c r="F103" s="15">
        <v>128196</v>
      </c>
      <c r="G103" s="15">
        <v>156145</v>
      </c>
    </row>
    <row r="104" spans="1:7">
      <c r="A104" s="11" t="s">
        <v>31</v>
      </c>
      <c r="B104" s="11">
        <v>1</v>
      </c>
      <c r="C104" s="11" t="s">
        <v>174</v>
      </c>
      <c r="D104" s="11">
        <v>2419</v>
      </c>
      <c r="E104" s="15">
        <v>255</v>
      </c>
      <c r="F104" s="15">
        <v>439852</v>
      </c>
      <c r="G104" s="15">
        <v>462029</v>
      </c>
    </row>
    <row r="105" spans="1:7">
      <c r="A105" s="11" t="s">
        <v>63</v>
      </c>
      <c r="B105" s="11">
        <v>1</v>
      </c>
      <c r="C105" s="11" t="s">
        <v>174</v>
      </c>
      <c r="D105" s="11">
        <v>864</v>
      </c>
      <c r="E105" s="15">
        <v>160</v>
      </c>
      <c r="F105" s="15">
        <v>100482</v>
      </c>
      <c r="G105" s="15">
        <v>108864</v>
      </c>
    </row>
    <row r="106" spans="1:7">
      <c r="A106" s="11" t="s">
        <v>9</v>
      </c>
      <c r="B106" s="11">
        <v>1</v>
      </c>
      <c r="C106" s="11" t="s">
        <v>174</v>
      </c>
      <c r="D106" s="11">
        <v>763</v>
      </c>
      <c r="E106" s="15">
        <v>235</v>
      </c>
      <c r="F106" s="15">
        <v>122381</v>
      </c>
      <c r="G106" s="15">
        <v>151837</v>
      </c>
    </row>
    <row r="107" spans="1:7">
      <c r="A107" s="12" t="s">
        <v>27</v>
      </c>
      <c r="B107" s="12">
        <v>1</v>
      </c>
      <c r="C107" s="12" t="s">
        <v>175</v>
      </c>
      <c r="D107" s="12">
        <v>676</v>
      </c>
      <c r="E107" s="16">
        <v>205</v>
      </c>
      <c r="F107" s="16">
        <v>92794</v>
      </c>
      <c r="G107" s="16">
        <v>110864</v>
      </c>
    </row>
    <row r="108" spans="1:7">
      <c r="A108" s="12" t="s">
        <v>50</v>
      </c>
      <c r="B108" s="12">
        <v>1</v>
      </c>
      <c r="C108" s="12" t="s">
        <v>175</v>
      </c>
      <c r="D108" s="12">
        <v>360</v>
      </c>
      <c r="E108" s="16">
        <v>355</v>
      </c>
      <c r="F108" s="16">
        <v>80509</v>
      </c>
      <c r="G108" s="16">
        <v>91800</v>
      </c>
    </row>
    <row r="109" spans="1:7">
      <c r="A109" s="12" t="s">
        <v>120</v>
      </c>
      <c r="B109" s="12">
        <v>1</v>
      </c>
      <c r="C109" s="12" t="s">
        <v>175</v>
      </c>
      <c r="D109" s="12">
        <v>547</v>
      </c>
      <c r="E109" s="16">
        <v>180</v>
      </c>
      <c r="F109" s="16">
        <v>80029</v>
      </c>
      <c r="G109" s="16">
        <v>78768</v>
      </c>
    </row>
    <row r="110" spans="1:7">
      <c r="A110" s="12" t="s">
        <v>44</v>
      </c>
      <c r="B110" s="12">
        <v>1</v>
      </c>
      <c r="C110" s="12" t="s">
        <v>175</v>
      </c>
      <c r="D110" s="12">
        <v>86</v>
      </c>
      <c r="E110" s="16">
        <v>200</v>
      </c>
      <c r="F110" s="16">
        <v>14655</v>
      </c>
      <c r="G110" s="16">
        <v>17200</v>
      </c>
    </row>
    <row r="111" spans="1:7">
      <c r="A111" s="12" t="s">
        <v>10</v>
      </c>
      <c r="B111" s="12">
        <v>1</v>
      </c>
      <c r="C111" s="12" t="s">
        <v>175</v>
      </c>
      <c r="D111" s="12">
        <v>230</v>
      </c>
      <c r="E111" s="16">
        <v>190</v>
      </c>
      <c r="F111" s="16">
        <v>30326</v>
      </c>
      <c r="G111" s="16">
        <v>34500</v>
      </c>
    </row>
    <row r="112" spans="1:7">
      <c r="A112" s="12" t="s">
        <v>18</v>
      </c>
      <c r="B112" s="12">
        <v>2</v>
      </c>
      <c r="C112" s="12" t="s">
        <v>175</v>
      </c>
      <c r="D112" s="12">
        <v>3009</v>
      </c>
      <c r="E112" s="16">
        <v>325</v>
      </c>
      <c r="F112" s="16">
        <v>893511</v>
      </c>
      <c r="G112" s="16">
        <v>704106</v>
      </c>
    </row>
    <row r="113" spans="1:7">
      <c r="A113" s="12" t="s">
        <v>127</v>
      </c>
      <c r="B113" s="12">
        <v>1</v>
      </c>
      <c r="C113" s="12" t="s">
        <v>175</v>
      </c>
      <c r="D113" s="12">
        <v>1555</v>
      </c>
      <c r="E113" s="16">
        <v>545</v>
      </c>
      <c r="F113" s="16">
        <v>747473</v>
      </c>
      <c r="G113" s="16">
        <v>847475</v>
      </c>
    </row>
    <row r="114" spans="1:7">
      <c r="A114" s="11" t="s">
        <v>114</v>
      </c>
      <c r="B114" s="11">
        <v>1</v>
      </c>
      <c r="C114" s="11" t="s">
        <v>176</v>
      </c>
      <c r="D114" s="11">
        <v>2390</v>
      </c>
      <c r="E114" s="15">
        <v>400</v>
      </c>
      <c r="F114" s="15">
        <v>1033532</v>
      </c>
      <c r="G114" s="15">
        <v>908200</v>
      </c>
    </row>
    <row r="115" spans="1:7">
      <c r="A115" s="11" t="s">
        <v>28</v>
      </c>
      <c r="B115" s="11">
        <v>1</v>
      </c>
      <c r="C115" s="11" t="s">
        <v>176</v>
      </c>
      <c r="D115" s="11">
        <v>2332</v>
      </c>
      <c r="E115" s="15">
        <v>585</v>
      </c>
      <c r="F115" s="15">
        <v>1380976</v>
      </c>
      <c r="G115" s="15">
        <v>1294260</v>
      </c>
    </row>
    <row r="116" spans="1:7">
      <c r="A116" s="11" t="s">
        <v>45</v>
      </c>
      <c r="B116" s="11">
        <v>2</v>
      </c>
      <c r="C116" s="11" t="s">
        <v>176</v>
      </c>
      <c r="D116" s="11">
        <v>3571</v>
      </c>
      <c r="E116" s="15">
        <v>585</v>
      </c>
      <c r="F116" s="15">
        <v>1342529</v>
      </c>
      <c r="G116" s="15">
        <v>1503391</v>
      </c>
    </row>
    <row r="117" spans="1:7">
      <c r="A117" s="11" t="s">
        <v>60</v>
      </c>
      <c r="B117" s="11">
        <v>1</v>
      </c>
      <c r="C117" s="11" t="s">
        <v>176</v>
      </c>
      <c r="D117" s="11">
        <v>2217</v>
      </c>
      <c r="E117" s="15">
        <v>210</v>
      </c>
      <c r="F117" s="15">
        <v>393536</v>
      </c>
      <c r="G117" s="15">
        <v>441183</v>
      </c>
    </row>
    <row r="118" spans="1:7">
      <c r="A118" s="11" t="s">
        <v>128</v>
      </c>
      <c r="B118" s="11">
        <v>1</v>
      </c>
      <c r="C118" s="11" t="s">
        <v>176</v>
      </c>
      <c r="D118" s="11">
        <v>1425</v>
      </c>
      <c r="E118" s="15">
        <v>465</v>
      </c>
      <c r="F118" s="15">
        <v>555910</v>
      </c>
      <c r="G118" s="15">
        <v>475950</v>
      </c>
    </row>
    <row r="119" spans="1:7">
      <c r="A119" s="11" t="s">
        <v>139</v>
      </c>
      <c r="B119" s="11">
        <v>1</v>
      </c>
      <c r="C119" s="11" t="s">
        <v>176</v>
      </c>
      <c r="D119" s="11">
        <v>2692</v>
      </c>
      <c r="E119" s="15">
        <v>470</v>
      </c>
      <c r="F119" s="15">
        <v>728693</v>
      </c>
      <c r="G119" s="15">
        <v>947584</v>
      </c>
    </row>
    <row r="120" spans="1:7">
      <c r="A120" s="11" t="s">
        <v>111</v>
      </c>
      <c r="B120" s="11">
        <v>1</v>
      </c>
      <c r="C120" s="11" t="s">
        <v>176</v>
      </c>
      <c r="D120" s="11">
        <v>1195</v>
      </c>
      <c r="E120" s="15">
        <v>425</v>
      </c>
      <c r="F120" s="15">
        <v>447357</v>
      </c>
      <c r="G120" s="15">
        <v>431395</v>
      </c>
    </row>
    <row r="121" spans="1:7">
      <c r="A121" s="11" t="s">
        <v>32</v>
      </c>
      <c r="B121" s="11">
        <v>1</v>
      </c>
      <c r="C121" s="11" t="s">
        <v>176</v>
      </c>
      <c r="D121" s="11">
        <v>921</v>
      </c>
      <c r="E121" s="15">
        <v>635</v>
      </c>
      <c r="F121" s="15">
        <v>499827</v>
      </c>
      <c r="G121" s="15">
        <v>555363</v>
      </c>
    </row>
    <row r="122" spans="1:7">
      <c r="A122" s="11" t="s">
        <v>135</v>
      </c>
      <c r="B122" s="11">
        <v>1</v>
      </c>
      <c r="C122" s="11" t="s">
        <v>176</v>
      </c>
      <c r="D122" s="11">
        <v>3369</v>
      </c>
      <c r="E122" s="15">
        <v>445</v>
      </c>
      <c r="F122" s="15">
        <v>1533569</v>
      </c>
      <c r="G122" s="15">
        <v>1347600</v>
      </c>
    </row>
    <row r="123" spans="1:7">
      <c r="A123" s="11" t="s">
        <v>75</v>
      </c>
      <c r="B123" s="11">
        <v>1</v>
      </c>
      <c r="C123" s="11" t="s">
        <v>176</v>
      </c>
      <c r="D123" s="11">
        <v>1051</v>
      </c>
      <c r="E123" s="15">
        <v>650</v>
      </c>
      <c r="F123" s="15">
        <v>517446</v>
      </c>
      <c r="G123" s="15">
        <v>491868</v>
      </c>
    </row>
    <row r="124" spans="1:7">
      <c r="A124" s="11" t="s">
        <v>51</v>
      </c>
      <c r="B124" s="11">
        <v>1</v>
      </c>
      <c r="C124" s="11" t="s">
        <v>176</v>
      </c>
      <c r="D124" s="11">
        <v>384</v>
      </c>
      <c r="E124" s="15">
        <v>415</v>
      </c>
      <c r="F124" s="15">
        <v>153402</v>
      </c>
      <c r="G124" s="15">
        <v>143232</v>
      </c>
    </row>
    <row r="125" spans="1:7">
      <c r="A125" s="11" t="s">
        <v>150</v>
      </c>
      <c r="B125" s="11">
        <v>1</v>
      </c>
      <c r="C125" s="11" t="s">
        <v>176</v>
      </c>
      <c r="D125" s="11">
        <v>2462</v>
      </c>
      <c r="E125" s="15">
        <v>570</v>
      </c>
      <c r="F125" s="15">
        <v>1299493</v>
      </c>
      <c r="G125" s="15">
        <v>1403340</v>
      </c>
    </row>
    <row r="126" spans="1:7">
      <c r="A126" s="11" t="s">
        <v>23</v>
      </c>
      <c r="B126" s="11">
        <v>1</v>
      </c>
      <c r="C126" s="11" t="s">
        <v>176</v>
      </c>
      <c r="D126" s="11">
        <v>1209</v>
      </c>
      <c r="E126" s="15">
        <v>660</v>
      </c>
      <c r="F126" s="15">
        <v>506852</v>
      </c>
      <c r="G126" s="15">
        <v>638352</v>
      </c>
    </row>
    <row r="127" spans="1:7">
      <c r="A127" s="11" t="s">
        <v>106</v>
      </c>
      <c r="B127" s="11">
        <v>1</v>
      </c>
      <c r="C127" s="11" t="s">
        <v>176</v>
      </c>
      <c r="D127" s="11">
        <v>604</v>
      </c>
      <c r="E127" s="15">
        <v>235</v>
      </c>
      <c r="F127" s="15">
        <v>81855</v>
      </c>
      <c r="G127" s="15">
        <v>106304</v>
      </c>
    </row>
    <row r="128" spans="1:7">
      <c r="A128" s="11" t="s">
        <v>124</v>
      </c>
      <c r="B128" s="11">
        <v>1</v>
      </c>
      <c r="C128" s="11" t="s">
        <v>176</v>
      </c>
      <c r="D128" s="11">
        <v>1267</v>
      </c>
      <c r="E128" s="15">
        <v>560</v>
      </c>
      <c r="F128" s="15">
        <v>497232</v>
      </c>
      <c r="G128" s="15">
        <v>567616</v>
      </c>
    </row>
    <row r="129" spans="1:7">
      <c r="A129" s="11" t="s">
        <v>102</v>
      </c>
      <c r="B129" s="11">
        <v>1</v>
      </c>
      <c r="C129" s="11" t="s">
        <v>176</v>
      </c>
      <c r="D129" s="11">
        <v>864</v>
      </c>
      <c r="E129" s="15">
        <v>595</v>
      </c>
      <c r="F129" s="15">
        <v>525766</v>
      </c>
      <c r="G129" s="15">
        <v>436320</v>
      </c>
    </row>
    <row r="130" spans="1:7">
      <c r="A130" s="11" t="s">
        <v>72</v>
      </c>
      <c r="B130" s="11">
        <v>1</v>
      </c>
      <c r="C130" s="11" t="s">
        <v>176</v>
      </c>
      <c r="D130" s="11">
        <v>950</v>
      </c>
      <c r="E130" s="15">
        <v>560</v>
      </c>
      <c r="F130" s="15">
        <v>470528</v>
      </c>
      <c r="G130" s="15">
        <v>505400</v>
      </c>
    </row>
    <row r="131" spans="1:7">
      <c r="A131" s="11" t="s">
        <v>66</v>
      </c>
      <c r="B131" s="11">
        <v>1</v>
      </c>
      <c r="C131" s="11" t="s">
        <v>176</v>
      </c>
      <c r="D131" s="11">
        <v>604</v>
      </c>
      <c r="E131" s="15">
        <v>520</v>
      </c>
      <c r="F131" s="15">
        <v>281919</v>
      </c>
      <c r="G131" s="15">
        <v>251264</v>
      </c>
    </row>
    <row r="132" spans="1:7">
      <c r="A132" s="11" t="s">
        <v>54</v>
      </c>
      <c r="B132" s="11">
        <v>1</v>
      </c>
      <c r="C132" s="11" t="s">
        <v>176</v>
      </c>
      <c r="D132" s="11">
        <v>2721</v>
      </c>
      <c r="E132" s="15">
        <v>250</v>
      </c>
      <c r="F132" s="15">
        <v>560526</v>
      </c>
      <c r="G132" s="15">
        <v>680250</v>
      </c>
    </row>
    <row r="133" spans="1:7">
      <c r="A133" s="11" t="s">
        <v>132</v>
      </c>
      <c r="B133" s="11">
        <v>1</v>
      </c>
      <c r="C133" s="11" t="s">
        <v>176</v>
      </c>
      <c r="D133" s="11">
        <v>1555</v>
      </c>
      <c r="E133" s="15">
        <v>630</v>
      </c>
      <c r="F133" s="15">
        <v>621999</v>
      </c>
      <c r="G133" s="15">
        <v>704415</v>
      </c>
    </row>
    <row r="134" spans="1:7">
      <c r="A134" s="12" t="s">
        <v>186</v>
      </c>
      <c r="B134" s="12">
        <v>3</v>
      </c>
      <c r="C134" s="12" t="s">
        <v>197</v>
      </c>
      <c r="D134" s="12">
        <v>15796</v>
      </c>
      <c r="E134" s="16">
        <v>500</v>
      </c>
      <c r="F134" s="16">
        <v>5840571</v>
      </c>
      <c r="G134" s="16">
        <v>6713300</v>
      </c>
    </row>
    <row r="135" spans="1:7">
      <c r="A135" s="12" t="s">
        <v>182</v>
      </c>
      <c r="B135" s="12">
        <v>3</v>
      </c>
      <c r="C135" s="12" t="s">
        <v>197</v>
      </c>
      <c r="D135" s="12">
        <v>9619</v>
      </c>
      <c r="E135" s="16">
        <v>540</v>
      </c>
      <c r="F135" s="16">
        <v>3892656</v>
      </c>
      <c r="G135" s="16">
        <v>3732172</v>
      </c>
    </row>
    <row r="136" spans="1:7">
      <c r="A136" s="12" t="s">
        <v>192</v>
      </c>
      <c r="B136" s="12">
        <v>3</v>
      </c>
      <c r="C136" s="12" t="s">
        <v>197</v>
      </c>
      <c r="D136" s="12">
        <v>7963</v>
      </c>
      <c r="E136" s="16">
        <v>310</v>
      </c>
      <c r="F136" s="16">
        <v>2069616</v>
      </c>
      <c r="G136" s="16">
        <v>1974824</v>
      </c>
    </row>
    <row r="137" spans="1:7">
      <c r="A137" s="12" t="s">
        <v>184</v>
      </c>
      <c r="B137" s="12">
        <v>2</v>
      </c>
      <c r="C137" s="12" t="s">
        <v>197</v>
      </c>
      <c r="D137" s="12">
        <v>4852</v>
      </c>
      <c r="E137" s="16">
        <v>205</v>
      </c>
      <c r="F137" s="16">
        <v>841512</v>
      </c>
      <c r="G137" s="16">
        <v>941288</v>
      </c>
    </row>
    <row r="138" spans="1:7">
      <c r="A138" s="12" t="s">
        <v>187</v>
      </c>
      <c r="B138" s="12">
        <v>1</v>
      </c>
      <c r="C138" s="12" t="s">
        <v>197</v>
      </c>
      <c r="D138" s="12">
        <v>2793</v>
      </c>
      <c r="E138" s="16">
        <v>415</v>
      </c>
      <c r="F138" s="16">
        <v>1081436</v>
      </c>
      <c r="G138" s="16">
        <v>868623</v>
      </c>
    </row>
    <row r="139" spans="1:7">
      <c r="A139" s="12" t="s">
        <v>183</v>
      </c>
      <c r="B139" s="12">
        <v>1</v>
      </c>
      <c r="C139" s="12" t="s">
        <v>197</v>
      </c>
      <c r="D139" s="12">
        <v>2188</v>
      </c>
      <c r="E139" s="16">
        <v>285</v>
      </c>
      <c r="F139" s="16">
        <v>517572</v>
      </c>
      <c r="G139" s="16">
        <v>623580</v>
      </c>
    </row>
    <row r="140" spans="1:7">
      <c r="A140" s="12" t="s">
        <v>193</v>
      </c>
      <c r="B140" s="12">
        <v>1</v>
      </c>
      <c r="C140" s="12" t="s">
        <v>197</v>
      </c>
      <c r="D140" s="12">
        <v>4924</v>
      </c>
      <c r="E140" s="16">
        <v>405</v>
      </c>
      <c r="F140" s="16">
        <v>1702326</v>
      </c>
      <c r="G140" s="16">
        <v>1693856</v>
      </c>
    </row>
    <row r="141" spans="1:7">
      <c r="A141" s="12" t="s">
        <v>177</v>
      </c>
      <c r="B141" s="12">
        <v>2</v>
      </c>
      <c r="C141" s="12" t="s">
        <v>197</v>
      </c>
      <c r="D141" s="12">
        <v>8798</v>
      </c>
      <c r="E141" s="16">
        <v>465</v>
      </c>
      <c r="F141" s="16">
        <v>3808760</v>
      </c>
      <c r="G141" s="16">
        <v>3061704</v>
      </c>
    </row>
    <row r="142" spans="1:7">
      <c r="A142" s="12" t="s">
        <v>194</v>
      </c>
      <c r="B142" s="12">
        <v>1</v>
      </c>
      <c r="C142" s="12" t="s">
        <v>197</v>
      </c>
      <c r="D142" s="12">
        <v>1483</v>
      </c>
      <c r="E142" s="16">
        <v>205</v>
      </c>
      <c r="F142" s="16">
        <v>255480</v>
      </c>
      <c r="G142" s="16">
        <v>287702</v>
      </c>
    </row>
    <row r="143" spans="1:7">
      <c r="A143" s="12" t="s">
        <v>178</v>
      </c>
      <c r="B143" s="12">
        <v>1</v>
      </c>
      <c r="C143" s="12" t="s">
        <v>197</v>
      </c>
      <c r="D143" s="12">
        <v>1252</v>
      </c>
      <c r="E143" s="16">
        <v>535</v>
      </c>
      <c r="F143" s="16">
        <v>536007</v>
      </c>
      <c r="G143" s="16">
        <v>482020</v>
      </c>
    </row>
    <row r="144" spans="1:7">
      <c r="A144" s="12" t="s">
        <v>185</v>
      </c>
      <c r="B144" s="12">
        <v>1</v>
      </c>
      <c r="C144" s="12" t="s">
        <v>197</v>
      </c>
      <c r="D144" s="12">
        <v>3110</v>
      </c>
      <c r="E144" s="16">
        <v>370</v>
      </c>
      <c r="F144" s="16">
        <v>877179</v>
      </c>
      <c r="G144" s="16">
        <v>1035630</v>
      </c>
    </row>
    <row r="145" spans="1:7">
      <c r="A145" s="12" t="s">
        <v>191</v>
      </c>
      <c r="B145" s="12">
        <v>2</v>
      </c>
      <c r="C145" s="12" t="s">
        <v>197</v>
      </c>
      <c r="D145" s="12">
        <v>6998</v>
      </c>
      <c r="E145" s="16">
        <v>265</v>
      </c>
      <c r="F145" s="16">
        <v>1167407</v>
      </c>
      <c r="G145" s="16">
        <v>1329620</v>
      </c>
    </row>
    <row r="146" spans="1:7">
      <c r="A146" s="12" t="s">
        <v>195</v>
      </c>
      <c r="B146" s="12">
        <v>2</v>
      </c>
      <c r="C146" s="12" t="s">
        <v>197</v>
      </c>
      <c r="D146" s="12">
        <v>8409</v>
      </c>
      <c r="E146" s="16">
        <v>650</v>
      </c>
      <c r="F146" s="16">
        <v>4906030</v>
      </c>
      <c r="G146" s="16">
        <v>4095183</v>
      </c>
    </row>
    <row r="147" spans="1:7">
      <c r="A147" s="12" t="s">
        <v>180</v>
      </c>
      <c r="B147" s="12">
        <v>2</v>
      </c>
      <c r="C147" s="12" t="s">
        <v>197</v>
      </c>
      <c r="D147" s="12">
        <v>7286</v>
      </c>
      <c r="E147" s="16">
        <v>315</v>
      </c>
      <c r="F147" s="16">
        <v>1809653</v>
      </c>
      <c r="G147" s="16">
        <v>1646636</v>
      </c>
    </row>
    <row r="148" spans="1:7">
      <c r="A148" s="12" t="s">
        <v>190</v>
      </c>
      <c r="B148" s="12">
        <v>2</v>
      </c>
      <c r="C148" s="12" t="s">
        <v>197</v>
      </c>
      <c r="D148" s="12">
        <v>11289</v>
      </c>
      <c r="E148" s="16">
        <v>425</v>
      </c>
      <c r="F148" s="16">
        <v>4544500</v>
      </c>
      <c r="G148" s="16">
        <v>3838260</v>
      </c>
    </row>
    <row r="149" spans="1:7">
      <c r="A149" s="12" t="s">
        <v>189</v>
      </c>
      <c r="B149" s="12">
        <v>1</v>
      </c>
      <c r="C149" s="12" t="s">
        <v>197</v>
      </c>
      <c r="D149" s="12">
        <v>1411</v>
      </c>
      <c r="E149" s="16">
        <v>470</v>
      </c>
      <c r="F149" s="16">
        <v>456792</v>
      </c>
      <c r="G149" s="16">
        <v>530536</v>
      </c>
    </row>
    <row r="150" spans="1:7">
      <c r="A150" s="12" t="s">
        <v>188</v>
      </c>
      <c r="B150" s="12">
        <v>1</v>
      </c>
      <c r="C150" s="12" t="s">
        <v>197</v>
      </c>
      <c r="D150" s="12">
        <v>3657</v>
      </c>
      <c r="E150" s="16">
        <v>625</v>
      </c>
      <c r="F150" s="16">
        <v>1532101</v>
      </c>
      <c r="G150" s="16">
        <v>1645650</v>
      </c>
    </row>
    <row r="151" spans="1:7">
      <c r="A151" s="12" t="s">
        <v>181</v>
      </c>
      <c r="B151" s="12">
        <v>2</v>
      </c>
      <c r="C151" s="12" t="s">
        <v>197</v>
      </c>
      <c r="D151" s="12">
        <v>6580</v>
      </c>
      <c r="E151" s="16">
        <v>325</v>
      </c>
      <c r="F151" s="16">
        <v>2008480</v>
      </c>
      <c r="G151" s="16">
        <v>1710800</v>
      </c>
    </row>
  </sheetData>
  <sortState xmlns:xlrd2="http://schemas.microsoft.com/office/spreadsheetml/2017/richdata2" ref="A4:G151">
    <sortCondition ref="A4:A151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CBF1-EC11-4CC2-94B6-41EE84D3D81D}">
  <dimension ref="A1:C12"/>
  <sheetViews>
    <sheetView workbookViewId="0">
      <selection activeCell="C4" sqref="C4"/>
    </sheetView>
  </sheetViews>
  <sheetFormatPr defaultRowHeight="15"/>
  <cols>
    <col min="1" max="1" width="12.85546875" style="5" bestFit="1" customWidth="1"/>
    <col min="2" max="3" width="17.85546875" style="5" bestFit="1" customWidth="1"/>
    <col min="4" max="16384" width="9.140625" style="5"/>
  </cols>
  <sheetData>
    <row r="1" spans="1:3" ht="20.25">
      <c r="A1" s="2" t="s">
        <v>247</v>
      </c>
    </row>
    <row r="2" spans="1:3">
      <c r="A2" s="5" t="s">
        <v>248</v>
      </c>
    </row>
    <row r="3" spans="1:3">
      <c r="A3" s="21" t="s">
        <v>170</v>
      </c>
      <c r="B3" s="5" t="s">
        <v>250</v>
      </c>
      <c r="C3" s="5" t="s">
        <v>251</v>
      </c>
    </row>
    <row r="4" spans="1:3">
      <c r="A4" s="5" t="s">
        <v>174</v>
      </c>
      <c r="B4" s="20">
        <v>2552567</v>
      </c>
      <c r="C4" s="20">
        <v>2613748</v>
      </c>
    </row>
    <row r="5" spans="1:3">
      <c r="A5" s="5" t="s">
        <v>176</v>
      </c>
      <c r="B5" s="20">
        <v>13432947</v>
      </c>
      <c r="C5" s="20">
        <v>13833287</v>
      </c>
    </row>
    <row r="6" spans="1:3">
      <c r="A6" s="5" t="s">
        <v>197</v>
      </c>
      <c r="B6" s="20">
        <v>37848078</v>
      </c>
      <c r="C6" s="20">
        <v>36211384</v>
      </c>
    </row>
    <row r="7" spans="1:3">
      <c r="A7" s="5" t="s">
        <v>196</v>
      </c>
      <c r="B7" s="20">
        <v>23373921</v>
      </c>
      <c r="C7" s="20">
        <v>23730674</v>
      </c>
    </row>
    <row r="8" spans="1:3">
      <c r="A8" s="5" t="s">
        <v>175</v>
      </c>
      <c r="B8" s="20">
        <v>1939297</v>
      </c>
      <c r="C8" s="20">
        <v>1884713</v>
      </c>
    </row>
    <row r="9" spans="1:3">
      <c r="A9" s="5" t="s">
        <v>172</v>
      </c>
      <c r="B9" s="20">
        <v>87988238</v>
      </c>
      <c r="C9" s="20">
        <v>79788721</v>
      </c>
    </row>
    <row r="10" spans="1:3">
      <c r="A10" s="5" t="s">
        <v>173</v>
      </c>
      <c r="B10" s="20">
        <v>17691079</v>
      </c>
      <c r="C10" s="20">
        <v>17294853</v>
      </c>
    </row>
    <row r="11" spans="1:3">
      <c r="A11" s="5" t="s">
        <v>171</v>
      </c>
      <c r="B11" s="20">
        <v>2671784</v>
      </c>
      <c r="C11" s="20">
        <v>2620708</v>
      </c>
    </row>
    <row r="12" spans="1:3">
      <c r="A12" s="5" t="s">
        <v>229</v>
      </c>
      <c r="B12" s="20">
        <v>187497911</v>
      </c>
      <c r="C12" s="20">
        <v>177978088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63B5-F94F-4189-8A92-95D6FB8184E8}">
  <dimension ref="A1:E14"/>
  <sheetViews>
    <sheetView workbookViewId="0">
      <selection activeCell="B3" sqref="B3"/>
    </sheetView>
  </sheetViews>
  <sheetFormatPr defaultRowHeight="15"/>
  <cols>
    <col min="1" max="1" width="13.7109375" style="5" customWidth="1"/>
    <col min="2" max="2" width="13" style="5" bestFit="1" customWidth="1"/>
    <col min="3" max="3" width="17.7109375" style="5" bestFit="1" customWidth="1"/>
    <col min="4" max="4" width="17.85546875" style="5" bestFit="1" customWidth="1"/>
    <col min="5" max="5" width="20.42578125" style="5" customWidth="1"/>
    <col min="6" max="16384" width="9.140625" style="5"/>
  </cols>
  <sheetData>
    <row r="1" spans="1:5" ht="20.25">
      <c r="A1" s="2" t="s">
        <v>232</v>
      </c>
    </row>
    <row r="2" spans="1:5">
      <c r="A2" s="17" t="s">
        <v>233</v>
      </c>
    </row>
    <row r="3" spans="1:5">
      <c r="A3" s="5" t="s">
        <v>234</v>
      </c>
      <c r="B3" s="18">
        <v>0.25</v>
      </c>
    </row>
    <row r="4" spans="1:5">
      <c r="A4" s="5" t="s">
        <v>170</v>
      </c>
      <c r="B4" s="6" t="s">
        <v>230</v>
      </c>
      <c r="C4" s="6" t="s">
        <v>231</v>
      </c>
      <c r="D4" s="6" t="s">
        <v>235</v>
      </c>
      <c r="E4" s="6" t="s">
        <v>236</v>
      </c>
    </row>
    <row r="5" spans="1:5">
      <c r="A5" s="5" t="s">
        <v>174</v>
      </c>
      <c r="B5" s="19">
        <v>13258</v>
      </c>
      <c r="C5" s="20">
        <v>2613748</v>
      </c>
      <c r="D5" s="5">
        <f t="shared" ref="D5:E12" si="0">INT(B5*(預估成長率+1))</f>
        <v>16572</v>
      </c>
      <c r="E5" s="20">
        <f t="shared" si="0"/>
        <v>3267185</v>
      </c>
    </row>
    <row r="6" spans="1:5">
      <c r="A6" s="5" t="s">
        <v>176</v>
      </c>
      <c r="B6" s="19">
        <v>33783</v>
      </c>
      <c r="C6" s="20">
        <v>13833287</v>
      </c>
      <c r="D6" s="5">
        <f t="shared" si="0"/>
        <v>42228</v>
      </c>
      <c r="E6" s="20">
        <f t="shared" si="0"/>
        <v>17291608</v>
      </c>
    </row>
    <row r="7" spans="1:5">
      <c r="A7" s="5" t="s">
        <v>197</v>
      </c>
      <c r="B7" s="19">
        <v>108408</v>
      </c>
      <c r="C7" s="20">
        <v>36211384</v>
      </c>
      <c r="D7" s="5">
        <f t="shared" si="0"/>
        <v>135510</v>
      </c>
      <c r="E7" s="20">
        <f t="shared" si="0"/>
        <v>45264230</v>
      </c>
    </row>
    <row r="8" spans="1:5">
      <c r="A8" s="5" t="s">
        <v>196</v>
      </c>
      <c r="B8" s="19">
        <v>82259</v>
      </c>
      <c r="C8" s="20">
        <v>23730674</v>
      </c>
      <c r="D8" s="5">
        <f t="shared" si="0"/>
        <v>102823</v>
      </c>
      <c r="E8" s="20">
        <f t="shared" si="0"/>
        <v>29663342</v>
      </c>
    </row>
    <row r="9" spans="1:5">
      <c r="A9" s="5" t="s">
        <v>175</v>
      </c>
      <c r="B9" s="19">
        <v>6463</v>
      </c>
      <c r="C9" s="20">
        <v>1884713</v>
      </c>
      <c r="D9" s="5">
        <f t="shared" si="0"/>
        <v>8078</v>
      </c>
      <c r="E9" s="20">
        <f t="shared" si="0"/>
        <v>2355891</v>
      </c>
    </row>
    <row r="10" spans="1:5">
      <c r="A10" s="5" t="s">
        <v>172</v>
      </c>
      <c r="B10" s="19">
        <v>171144</v>
      </c>
      <c r="C10" s="20">
        <v>79788721</v>
      </c>
      <c r="D10" s="5">
        <f t="shared" si="0"/>
        <v>213930</v>
      </c>
      <c r="E10" s="20">
        <f t="shared" si="0"/>
        <v>99735901</v>
      </c>
    </row>
    <row r="11" spans="1:5">
      <c r="A11" s="5" t="s">
        <v>173</v>
      </c>
      <c r="B11" s="19">
        <v>106719</v>
      </c>
      <c r="C11" s="20">
        <v>17294853</v>
      </c>
      <c r="D11" s="5">
        <f t="shared" si="0"/>
        <v>133398</v>
      </c>
      <c r="E11" s="20">
        <f t="shared" si="0"/>
        <v>21618566</v>
      </c>
    </row>
    <row r="12" spans="1:5">
      <c r="A12" s="5" t="s">
        <v>171</v>
      </c>
      <c r="B12" s="19">
        <v>5511</v>
      </c>
      <c r="C12" s="20">
        <v>2620708</v>
      </c>
      <c r="D12" s="5">
        <f t="shared" si="0"/>
        <v>6888</v>
      </c>
      <c r="E12" s="20">
        <f t="shared" si="0"/>
        <v>3275885</v>
      </c>
    </row>
    <row r="13" spans="1:5">
      <c r="A13" s="5" t="s">
        <v>229</v>
      </c>
      <c r="B13" s="19">
        <f t="shared" ref="B13:E13" si="1">SUM(B5:B12)</f>
        <v>527545</v>
      </c>
      <c r="C13" s="20">
        <f t="shared" si="1"/>
        <v>177978088</v>
      </c>
      <c r="D13" s="5">
        <f t="shared" si="1"/>
        <v>659427</v>
      </c>
      <c r="E13" s="20">
        <f t="shared" si="1"/>
        <v>222472608</v>
      </c>
    </row>
    <row r="14" spans="1:5">
      <c r="A14" s="5" t="s">
        <v>237</v>
      </c>
      <c r="B14" s="19">
        <f>ROUND(AVERAGE(B5:B12),0)</f>
        <v>65943</v>
      </c>
      <c r="C14" s="20">
        <f t="shared" ref="C14:E14" si="2">ROUND(AVERAGE(C5:C12),0)</f>
        <v>22247261</v>
      </c>
      <c r="D14" s="5">
        <f t="shared" si="2"/>
        <v>82428</v>
      </c>
      <c r="E14" s="20">
        <f t="shared" si="2"/>
        <v>27809076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488A9A-E3C7-4173-81B4-D1092DE36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6</vt:i4>
      </vt:variant>
      <vt:variant>
        <vt:lpstr>圖表</vt:lpstr>
      </vt:variant>
      <vt:variant>
        <vt:i4>1</vt:i4>
      </vt:variant>
      <vt:variant>
        <vt:lpstr>具名範圍</vt:lpstr>
      </vt:variant>
      <vt:variant>
        <vt:i4>3</vt:i4>
      </vt:variant>
    </vt:vector>
  </HeadingPairs>
  <TitlesOfParts>
    <vt:vector size="10" baseType="lpstr">
      <vt:lpstr>銷售量排行</vt:lpstr>
      <vt:lpstr>獎金分配</vt:lpstr>
      <vt:lpstr>新書出版</vt:lpstr>
      <vt:lpstr>年銷售額</vt:lpstr>
      <vt:lpstr>年銷售額分析</vt:lpstr>
      <vt:lpstr>銷售預估</vt:lpstr>
      <vt:lpstr>年銷售額分析圖</vt:lpstr>
      <vt:lpstr>前兩年銷售金額</vt:lpstr>
      <vt:lpstr>預估成長率</vt:lpstr>
      <vt:lpstr>暢銷排行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2021-04-08T03:21:26Z</dcterms:modified>
</cp:coreProperties>
</file>