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style1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2.xml" ContentType="application/vnd.openxmlformats-officedocument.spreadsheetml.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\Desktop\Mos 2019\檔案製作\"/>
    </mc:Choice>
  </mc:AlternateContent>
  <xr:revisionPtr revIDLastSave="0" documentId="13_ncr:1_{A2499FD4-4F32-4176-AF2D-E0C45F807D7B}" xr6:coauthVersionLast="47" xr6:coauthVersionMax="47" xr10:uidLastSave="{00000000-0000-0000-0000-000000000000}"/>
  <bookViews>
    <workbookView xWindow="-108" yWindow="-108" windowWidth="23256" windowHeight="12576" xr2:uid="{F674223D-FDD9-43A9-8EC5-2D1F330FCAEB}"/>
  </bookViews>
  <sheets>
    <sheet name="電影" sheetId="1" r:id="rId1"/>
    <sheet name="銷量" sheetId="2" r:id="rId2"/>
    <sheet name="銷量分析" sheetId="3" r:id="rId3"/>
    <sheet name="版權分析" sheetId="4" r:id="rId4"/>
    <sheet name="版權" sheetId="5" r:id="rId5"/>
  </sheets>
  <calcPr calcId="191029"/>
  <pivotCaches>
    <pivotCache cacheId="24" r:id="rId6"/>
    <pivotCache cacheId="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4" i="5"/>
  <c r="F4" i="5"/>
  <c r="F6" i="5"/>
  <c r="F7" i="5"/>
  <c r="F8" i="5"/>
  <c r="F9" i="5"/>
  <c r="F10" i="5"/>
  <c r="F11" i="5"/>
  <c r="F5" i="5"/>
  <c r="M5" i="2"/>
  <c r="M4" i="2"/>
  <c r="M6" i="2"/>
  <c r="L6" i="2"/>
  <c r="I5" i="2"/>
  <c r="I6" i="2"/>
  <c r="I7" i="2"/>
  <c r="I8" i="2"/>
  <c r="I9" i="2"/>
  <c r="I10" i="2"/>
  <c r="I11" i="2"/>
  <c r="I4" i="2"/>
  <c r="H11" i="2"/>
  <c r="H10" i="2"/>
  <c r="H9" i="2"/>
  <c r="H8" i="2"/>
  <c r="H7" i="2"/>
  <c r="H6" i="2"/>
  <c r="H12" i="2" s="1"/>
  <c r="H5" i="2"/>
  <c r="H4" i="2"/>
  <c r="E12" i="2"/>
  <c r="E5" i="2"/>
  <c r="E6" i="2"/>
  <c r="E7" i="2"/>
  <c r="E8" i="2"/>
  <c r="E9" i="2"/>
  <c r="E10" i="2"/>
  <c r="E11" i="2"/>
  <c r="E4" i="2"/>
  <c r="I12" i="2" l="1"/>
</calcChain>
</file>

<file path=xl/sharedStrings.xml><?xml version="1.0" encoding="utf-8"?>
<sst xmlns="http://schemas.openxmlformats.org/spreadsheetml/2006/main" count="128" uniqueCount="74">
  <si>
    <t>Mickey 電影製作公司</t>
  </si>
  <si>
    <t>電影</t>
  </si>
  <si>
    <t>電影編號</t>
  </si>
  <si>
    <t>電影片名</t>
  </si>
  <si>
    <t>簡介</t>
  </si>
  <si>
    <t>上映日期</t>
  </si>
  <si>
    <t>TW01</t>
  </si>
  <si>
    <t>當女人戀愛時</t>
  </si>
  <si>
    <t>台式的浪漫，闡述一個女人遇見來自鄉下的鐵漢子，一段愛情故事。</t>
  </si>
  <si>
    <t>台灣電影</t>
  </si>
  <si>
    <t>KR01</t>
  </si>
  <si>
    <t>在雨之前</t>
  </si>
  <si>
    <t>天氣的變化無法預測，在某次下雨前卻發生了神奇的……。</t>
  </si>
  <si>
    <t>韓國電影</t>
  </si>
  <si>
    <t>JP01</t>
  </si>
  <si>
    <t>名偵探</t>
  </si>
  <si>
    <t>改編漫畫，一群小學生遇到了連環事件，其中有個異於常人的小學生如何解決這次的案件。</t>
  </si>
  <si>
    <t>日本動漫</t>
  </si>
  <si>
    <t>KR02</t>
  </si>
  <si>
    <t>貨車司機</t>
  </si>
  <si>
    <t>一個天天開車貨車賺錢的司機，如何面對路途中發生的一連串狀況。</t>
  </si>
  <si>
    <t>JP02</t>
  </si>
  <si>
    <t>地域之旅</t>
  </si>
  <si>
    <t>冒險者在新大陸展開一段神奇之旅</t>
  </si>
  <si>
    <t>TW02</t>
  </si>
  <si>
    <t>美食地圖</t>
  </si>
  <si>
    <t>美食愛好者在台灣吃遍了所有美食，繪畫出美食地圖的過程……</t>
  </si>
  <si>
    <t>TW03</t>
  </si>
  <si>
    <t>校園</t>
  </si>
  <si>
    <t>平凡的學生卻在某一天在校園內進入了另一個時空，遇見了另一個自己……</t>
  </si>
  <si>
    <t>TW04</t>
  </si>
  <si>
    <t>鍵盤殺手</t>
  </si>
  <si>
    <t>網路發達的時代，不要讓鍵盤成為這時代的殺手……</t>
  </si>
  <si>
    <t>電影銷售量</t>
    <phoneticPr fontId="2" type="noConversion"/>
  </si>
  <si>
    <t>電影編號</t>
    <phoneticPr fontId="2" type="noConversion"/>
  </si>
  <si>
    <t>類別</t>
  </si>
  <si>
    <t>類別</t>
    <phoneticPr fontId="2" type="noConversion"/>
  </si>
  <si>
    <t>電影院
銷售量</t>
    <phoneticPr fontId="2" type="noConversion"/>
  </si>
  <si>
    <t>電影院
售價</t>
    <phoneticPr fontId="2" type="noConversion"/>
  </si>
  <si>
    <t>影音平台
觀看次數</t>
    <phoneticPr fontId="2" type="noConversion"/>
  </si>
  <si>
    <t>影音平台
售價</t>
    <phoneticPr fontId="2" type="noConversion"/>
  </si>
  <si>
    <t>影音平台總銷售量</t>
    <phoneticPr fontId="2" type="noConversion"/>
  </si>
  <si>
    <t>合計</t>
    <phoneticPr fontId="2" type="noConversion"/>
  </si>
  <si>
    <t>銷售額合計</t>
    <phoneticPr fontId="2" type="noConversion"/>
  </si>
  <si>
    <t>銷售量預估</t>
    <phoneticPr fontId="2" type="noConversion"/>
  </si>
  <si>
    <t>銷售
百分比</t>
    <phoneticPr fontId="2" type="noConversion"/>
  </si>
  <si>
    <t>電影院</t>
    <phoneticPr fontId="2" type="noConversion"/>
  </si>
  <si>
    <t>影音平台</t>
    <phoneticPr fontId="2" type="noConversion"/>
  </si>
  <si>
    <t>銷售額</t>
    <phoneticPr fontId="2" type="noConversion"/>
  </si>
  <si>
    <t>列標籤</t>
  </si>
  <si>
    <t>總計</t>
  </si>
  <si>
    <t xml:space="preserve"> 影音平台總銷售量</t>
  </si>
  <si>
    <t xml:space="preserve"> 銷售額合計</t>
  </si>
  <si>
    <t>電影版權</t>
  </si>
  <si>
    <t>製作團隊版權</t>
  </si>
  <si>
    <t>團隊預付款</t>
  </si>
  <si>
    <t>應付版權</t>
  </si>
  <si>
    <t>總付款額</t>
  </si>
  <si>
    <t>王怡真</t>
  </si>
  <si>
    <t>李正順</t>
  </si>
  <si>
    <t>楊俊彥</t>
  </si>
  <si>
    <t>張雅琳</t>
  </si>
  <si>
    <t>朴成宥</t>
  </si>
  <si>
    <t>朴成宥</t>
    <phoneticPr fontId="2" type="noConversion"/>
  </si>
  <si>
    <t>李正賀</t>
  </si>
  <si>
    <t>李正賀</t>
    <phoneticPr fontId="2" type="noConversion"/>
  </si>
  <si>
    <t>永山 里奈</t>
  </si>
  <si>
    <t>坂田 扶樹</t>
  </si>
  <si>
    <t>電影銷售額</t>
  </si>
  <si>
    <t xml:space="preserve"> 製作團隊版權</t>
  </si>
  <si>
    <t>製作團隊代表</t>
    <phoneticPr fontId="2" type="noConversion"/>
  </si>
  <si>
    <t>電影銷量分析</t>
    <phoneticPr fontId="2" type="noConversion"/>
  </si>
  <si>
    <t>電影院總銷售量</t>
    <phoneticPr fontId="2" type="noConversion"/>
  </si>
  <si>
    <t xml:space="preserve"> 電影院總銷售量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</si>
</sst>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76" formatCode="_-* #,##0_-;\-* #,##0_-;_-* &quot;-&quot;??_-;_-@_-"/>
    <numFmt numFmtId="177" formatCode="_-[$$-404]* #,##0_-;\-[$$-404]* #,##0_-;_-[$$-404]* &quot;-&quot;??_-;_-@_-"/>
    <numFmt numFmtId="178" formatCode="0.0%"/>
    <numFmt numFmtId="179" formatCode="_-&quot;$&quot;* #,##0_-;\-&quot;$&quot;* #,##0_-;_-&quot;$&quot;* &quot;-&quot;??_-;_-@_-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double">
        <color theme="8" tint="-0.249977111117893"/>
      </bottom>
      <diagonal/>
    </border>
    <border>
      <left/>
      <right/>
      <top/>
      <bottom style="double">
        <color theme="8" tint="-0.24997711111789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14" fontId="4" fillId="0" borderId="0" xfId="0" applyNumberFormat="1" applyFont="1">
      <alignment vertical="center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0" xfId="1" applyNumberFormat="1" applyFont="1">
      <alignment vertical="center"/>
    </xf>
    <xf numFmtId="177" fontId="3" fillId="0" borderId="0" xfId="0" applyNumberFormat="1" applyFont="1">
      <alignment vertical="center"/>
    </xf>
    <xf numFmtId="0" fontId="3" fillId="0" borderId="2" xfId="0" applyFont="1" applyBorder="1">
      <alignment vertical="center"/>
    </xf>
    <xf numFmtId="176" fontId="3" fillId="0" borderId="2" xfId="1" applyNumberFormat="1" applyFont="1" applyBorder="1">
      <alignment vertical="center"/>
    </xf>
    <xf numFmtId="177" fontId="3" fillId="0" borderId="2" xfId="0" applyNumberFormat="1" applyFont="1" applyBorder="1">
      <alignment vertical="center"/>
    </xf>
    <xf numFmtId="0" fontId="3" fillId="0" borderId="3" xfId="0" applyFont="1" applyBorder="1">
      <alignment vertical="center"/>
    </xf>
    <xf numFmtId="177" fontId="3" fillId="0" borderId="3" xfId="0" applyNumberFormat="1" applyFont="1" applyBorder="1">
      <alignment vertical="center"/>
    </xf>
    <xf numFmtId="0" fontId="3" fillId="0" borderId="4" xfId="0" applyFont="1" applyBorder="1">
      <alignment vertical="center"/>
    </xf>
    <xf numFmtId="177" fontId="3" fillId="0" borderId="4" xfId="0" applyNumberFormat="1" applyFont="1" applyBorder="1">
      <alignment vertical="center"/>
    </xf>
    <xf numFmtId="178" fontId="3" fillId="0" borderId="0" xfId="2" applyNumberFormat="1" applyFont="1">
      <alignment vertical="center"/>
    </xf>
    <xf numFmtId="178" fontId="3" fillId="0" borderId="2" xfId="2" applyNumberFormat="1" applyFont="1" applyBorder="1">
      <alignment vertical="center"/>
    </xf>
    <xf numFmtId="9" fontId="3" fillId="0" borderId="4" xfId="2" applyFont="1" applyBorder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3" fillId="0" borderId="0" xfId="0" pivotButton="1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9" fontId="3" fillId="0" borderId="0" xfId="0" applyNumberFormat="1" applyFont="1" applyAlignment="1">
      <alignment horizontal="right" vertical="center"/>
    </xf>
    <xf numFmtId="179" fontId="3" fillId="0" borderId="0" xfId="0" applyNumberFormat="1" applyFont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133"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7" formatCode="_-[$$-404]* #,##0_-;\-[$$-404]* #,##0_-;_-[$$-40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7" formatCode="_-[$$-404]* #,##0_-;\-[$$-404]* #,##0_-;_-[$$-40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7" formatCode="_-[$$-404]* #,##0_-;\-[$$-404]* #,##0_-;_-[$$-40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3" formatCode="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7" formatCode="_-[$$-404]* #,##0_-;\-[$$-404]* #,##0_-;_-[$$-40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numFmt numFmtId="179" formatCode="_-&quot;$&quot;* #,##0_-;\-&quot;$&quot;* #,##0_-;_-&quot;$&quot;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numFmt numFmtId="177" formatCode="_-[$$-404]* #,##0_-;\-[$$-404]* #,##0_-;_-[$$-404]* &quot;-&quot;??_-;_-@_-"/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family val="2"/>
        <charset val="136"/>
        <scheme val="none"/>
      </font>
    </dxf>
  </dxfs>
  <tableStyles count="1" defaultTableStyle="TableStyleMedium2" defaultPivotStyle="PivotStyleLight16">
    <tableStyle name="Invisible" pivot="0" table="0" count="0" xr9:uid="{1CA8EDAD-407B-4E16-AB49-20FEC58809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[模EEB6 Mickey 電影製作.xlsx]版權分析!樞紐分析表2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版權分析!$B$2</c:f>
              <c:strCache>
                <c:ptCount val="1"/>
                <c:pt idx="0">
                  <c:v>電影銷售額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版權分析!$A$3:$A$11</c:f>
              <c:strCache>
                <c:ptCount val="8"/>
                <c:pt idx="0">
                  <c:v>王怡真</c:v>
                </c:pt>
                <c:pt idx="1">
                  <c:v>永山 里奈</c:v>
                </c:pt>
                <c:pt idx="2">
                  <c:v>朴成宥</c:v>
                </c:pt>
                <c:pt idx="3">
                  <c:v>坂田 扶樹</c:v>
                </c:pt>
                <c:pt idx="4">
                  <c:v>李正賀</c:v>
                </c:pt>
                <c:pt idx="5">
                  <c:v>李正順</c:v>
                </c:pt>
                <c:pt idx="6">
                  <c:v>張雅琳</c:v>
                </c:pt>
                <c:pt idx="7">
                  <c:v>楊俊彥</c:v>
                </c:pt>
              </c:strCache>
            </c:strRef>
          </c:cat>
          <c:val>
            <c:numRef>
              <c:f>版權分析!$B$3:$B$11</c:f>
              <c:numCache>
                <c:formatCode>_-"$"* #,##0_-;\-"$"* #,##0_-;_-"$"* "-"??_-;_-@_-</c:formatCode>
                <c:ptCount val="8"/>
                <c:pt idx="0">
                  <c:v>2816216490</c:v>
                </c:pt>
                <c:pt idx="1">
                  <c:v>2236757440</c:v>
                </c:pt>
                <c:pt idx="2">
                  <c:v>227623270</c:v>
                </c:pt>
                <c:pt idx="3">
                  <c:v>2327490720</c:v>
                </c:pt>
                <c:pt idx="4">
                  <c:v>681515110</c:v>
                </c:pt>
                <c:pt idx="5">
                  <c:v>2786724580</c:v>
                </c:pt>
                <c:pt idx="6">
                  <c:v>1983696825</c:v>
                </c:pt>
                <c:pt idx="7">
                  <c:v>2654566390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6-4052-8298-CC41F04B6F56}"/>
            </c:ext>
          </c:extLst>
        </c:ser>
        <c:ser>
          <c:idx val="1"/>
          <c:order val="1"/>
          <c:tx>
            <c:strRef>
              <c:f>版權分析!$C$2</c:f>
              <c:strCache>
                <c:ptCount val="1"/>
                <c:pt idx="0">
                  <c:v> 製作團隊版權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版權分析!$A$3:$A$11</c:f>
              <c:strCache>
                <c:ptCount val="8"/>
                <c:pt idx="0">
                  <c:v>王怡真</c:v>
                </c:pt>
                <c:pt idx="1">
                  <c:v>永山 里奈</c:v>
                </c:pt>
                <c:pt idx="2">
                  <c:v>朴成宥</c:v>
                </c:pt>
                <c:pt idx="3">
                  <c:v>坂田 扶樹</c:v>
                </c:pt>
                <c:pt idx="4">
                  <c:v>李正賀</c:v>
                </c:pt>
                <c:pt idx="5">
                  <c:v>李正順</c:v>
                </c:pt>
                <c:pt idx="6">
                  <c:v>張雅琳</c:v>
                </c:pt>
                <c:pt idx="7">
                  <c:v>楊俊彥</c:v>
                </c:pt>
              </c:strCache>
            </c:strRef>
          </c:cat>
          <c:val>
            <c:numRef>
              <c:f>版權分析!$C$3:$C$11</c:f>
              <c:numCache>
                <c:formatCode>_-"$"* #,##0_-;\-"$"* #,##0_-;_-"$"* "-"??_-;_-@_-</c:formatCode>
                <c:ptCount val="8"/>
                <c:pt idx="0">
                  <c:v>1408108245</c:v>
                </c:pt>
                <c:pt idx="1">
                  <c:v>671027232</c:v>
                </c:pt>
                <c:pt idx="2">
                  <c:v>91049308</c:v>
                </c:pt>
                <c:pt idx="3">
                  <c:v>1861992576</c:v>
                </c:pt>
                <c:pt idx="4">
                  <c:v>272606044</c:v>
                </c:pt>
                <c:pt idx="5">
                  <c:v>2229379664</c:v>
                </c:pt>
                <c:pt idx="6">
                  <c:v>1785327142.5</c:v>
                </c:pt>
                <c:pt idx="7">
                  <c:v>1327283195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6-4052-8298-CC41F04B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65439647"/>
        <c:axId val="765440063"/>
      </c:barChart>
      <c:catAx>
        <c:axId val="76543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5440063"/>
        <c:crosses val="autoZero"/>
        <c:auto val="1"/>
        <c:lblAlgn val="ctr"/>
        <c:lblOffset val="100"/>
        <c:noMultiLvlLbl val="0"/>
      </c:catAx>
      <c:valAx>
        <c:axId val="76544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543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11430</xdr:rowOff>
    </xdr:from>
    <xdr:to>
      <xdr:col>14</xdr:col>
      <xdr:colOff>495300</xdr:colOff>
      <xdr:row>17</xdr:row>
      <xdr:rowOff>160020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8E7904B-3DAD-4D81-8EFE-04486D112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onne" refreshedDate="44329.985433217589" createdVersion="7" refreshedVersion="7" minRefreshableVersion="3" recordCount="8" xr:uid="{4E7C0350-F0BD-4B88-A6EE-0C5EE31C6B74}">
  <cacheSource type="worksheet">
    <worksheetSource name="表格2"/>
  </cacheSource>
  <cacheFields count="7">
    <cacheField name="電影編號" numFmtId="0">
      <sharedItems/>
    </cacheField>
    <cacheField name="製作團隊" numFmtId="0">
      <sharedItems count="8">
        <s v="王怡真"/>
        <s v="朴成宥"/>
        <s v="永山 里奈"/>
        <s v="李正賀"/>
        <s v="坂田 扶樹"/>
        <s v="李正順"/>
        <s v="楊俊彥"/>
        <s v="張雅琳"/>
      </sharedItems>
    </cacheField>
    <cacheField name="銷售額" numFmtId="177">
      <sharedItems containsSemiMixedTypes="0" containsString="0" containsNumber="1" containsInteger="1" minValue="227623270" maxValue="2816216490"/>
    </cacheField>
    <cacheField name="製作團隊版權" numFmtId="9">
      <sharedItems containsSemiMixedTypes="0" containsString="0" containsNumber="1" minValue="0.3" maxValue="0.9"/>
    </cacheField>
    <cacheField name="團隊預付款" numFmtId="177">
      <sharedItems containsSemiMixedTypes="0" containsString="0" containsNumber="1" containsInteger="1" minValue="0" maxValue="500000000"/>
    </cacheField>
    <cacheField name="應付版權" numFmtId="177">
      <sharedItems containsSemiMixedTypes="0" containsString="0" containsNumber="1" minValue="-208950692" maxValue="1861992576"/>
    </cacheField>
    <cacheField name="總付款額" numFmtId="177">
      <sharedItems containsSemiMixedTypes="0" containsString="0" containsNumber="1" minValue="91049308" maxValue="2229379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vonne" refreshedDate="44329.994686921294" createdVersion="7" refreshedVersion="7" minRefreshableVersion="3" recordCount="8" xr:uid="{DFE2B8AE-EEF3-468B-8E36-E02CEE363375}">
  <cacheSource type="worksheet">
    <worksheetSource ref="A3:I11" sheet="銷量"/>
  </cacheSource>
  <cacheFields count="9">
    <cacheField name="電影編號" numFmtId="0">
      <sharedItems count="8">
        <s v="TW01"/>
        <s v="KR01"/>
        <s v="JP01"/>
        <s v="KR02"/>
        <s v="JP02"/>
        <s v="TW02"/>
        <s v="TW03"/>
        <s v="TW04"/>
      </sharedItems>
    </cacheField>
    <cacheField name="類別" numFmtId="0">
      <sharedItems count="3">
        <s v="台灣電影"/>
        <s v="韓國電影"/>
        <s v="日本動漫"/>
      </sharedItems>
    </cacheField>
    <cacheField name="電影院_x000a_銷售量" numFmtId="176">
      <sharedItems containsSemiMixedTypes="0" containsString="0" containsNumber="1" containsInteger="1" minValue="590107" maxValue="9100871"/>
    </cacheField>
    <cacheField name="電影院_x000a_售價" numFmtId="177">
      <sharedItems containsSemiMixedTypes="0" containsString="0" containsNumber="1" containsInteger="1" minValue="280" maxValue="350"/>
    </cacheField>
    <cacheField name="電影院總銷售量" numFmtId="177">
      <sharedItems containsSemiMixedTypes="0" containsString="0" containsNumber="1" containsInteger="1" minValue="165229960" maxValue="2776195290"/>
    </cacheField>
    <cacheField name="影音平台_x000a_觀看次數" numFmtId="176">
      <sharedItems containsSemiMixedTypes="0" containsString="0" containsNumber="1" containsInteger="1" minValue="74104" maxValue="891461"/>
    </cacheField>
    <cacheField name="影音平台_x000a_售價" numFmtId="177">
      <sharedItems containsSemiMixedTypes="0" containsString="0" containsNumber="1" containsInteger="1" minValue="90" maxValue="160"/>
    </cacheField>
    <cacheField name="影音平台總銷售量" numFmtId="177">
      <sharedItems containsSemiMixedTypes="0" containsString="0" containsNumber="1" containsInteger="1" minValue="9263000" maxValue="98060710"/>
    </cacheField>
    <cacheField name="銷售額合計" numFmtId="177">
      <sharedItems containsSemiMixedTypes="0" containsString="0" containsNumber="1" containsInteger="1" minValue="227623270" maxValue="28162164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TW01"/>
    <x v="0"/>
    <n v="2816216490"/>
    <n v="0.5"/>
    <n v="100000000"/>
    <n v="1308108245"/>
    <n v="1408108245"/>
  </r>
  <r>
    <s v="KR01"/>
    <x v="1"/>
    <n v="227623270"/>
    <n v="0.4"/>
    <n v="300000000"/>
    <n v="-208950692"/>
    <n v="91049308"/>
  </r>
  <r>
    <s v="JP01"/>
    <x v="2"/>
    <n v="2236757440"/>
    <n v="0.3"/>
    <n v="80000000"/>
    <n v="591027232"/>
    <n v="671027232"/>
  </r>
  <r>
    <s v="KR02"/>
    <x v="3"/>
    <n v="681515110"/>
    <n v="0.4"/>
    <n v="300000000"/>
    <n v="-27393956"/>
    <n v="272606044"/>
  </r>
  <r>
    <s v="JP02"/>
    <x v="4"/>
    <n v="2327490720"/>
    <n v="0.8"/>
    <n v="0"/>
    <n v="1861992576"/>
    <n v="1861992576"/>
  </r>
  <r>
    <s v="TW02"/>
    <x v="5"/>
    <n v="2786724580"/>
    <n v="0.8"/>
    <n v="500000000"/>
    <n v="1729379664"/>
    <n v="2229379664"/>
  </r>
  <r>
    <s v="TW03"/>
    <x v="6"/>
    <n v="2654566390"/>
    <n v="0.5"/>
    <n v="100000000"/>
    <n v="1227283195"/>
    <n v="1327283195"/>
  </r>
  <r>
    <s v="TW04"/>
    <x v="7"/>
    <n v="1983696825"/>
    <n v="0.9"/>
    <n v="0"/>
    <n v="1785327142.5"/>
    <n v="1785327142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8412713"/>
    <n v="330"/>
    <n v="2776195290"/>
    <n v="333510"/>
    <n v="120"/>
    <n v="40021200"/>
    <n v="2816216490"/>
  </r>
  <r>
    <x v="1"/>
    <x v="1"/>
    <n v="590107"/>
    <n v="280"/>
    <n v="165229960"/>
    <n v="693259"/>
    <n v="90"/>
    <n v="62393310"/>
    <n v="227623270"/>
  </r>
  <r>
    <x v="2"/>
    <x v="2"/>
    <n v="7864771"/>
    <n v="280"/>
    <n v="2202135880"/>
    <n v="384684"/>
    <n v="90"/>
    <n v="34621560"/>
    <n v="2236757440"/>
  </r>
  <r>
    <x v="3"/>
    <x v="1"/>
    <n v="1823295"/>
    <n v="320"/>
    <n v="583454400"/>
    <n v="891461"/>
    <n v="110"/>
    <n v="98060710"/>
    <n v="681515110"/>
  </r>
  <r>
    <x v="4"/>
    <x v="2"/>
    <n v="6871384"/>
    <n v="330"/>
    <n v="2267556720"/>
    <n v="399560"/>
    <n v="150"/>
    <n v="59934000"/>
    <n v="2327490720"/>
  </r>
  <r>
    <x v="5"/>
    <x v="0"/>
    <n v="7855246"/>
    <n v="350"/>
    <n v="2749336100"/>
    <n v="233678"/>
    <n v="160"/>
    <n v="37388480"/>
    <n v="2786724580"/>
  </r>
  <r>
    <x v="6"/>
    <x v="0"/>
    <n v="9100871"/>
    <n v="290"/>
    <n v="2639252590"/>
    <n v="153138"/>
    <n v="100"/>
    <n v="15313800"/>
    <n v="2654566390"/>
  </r>
  <r>
    <x v="7"/>
    <x v="0"/>
    <n v="6075181"/>
    <n v="325"/>
    <n v="1974433825"/>
    <n v="74104"/>
    <n v="125"/>
    <n v="9263000"/>
    <n v="1983696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2B4CE-1B4F-432B-9958-40841525FC33}" name="樞紐分析表1" cacheId="2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D15" firstHeaderRow="0" firstDataRow="1" firstDataCol="1"/>
  <pivotFields count="9">
    <pivotField axis="axisRow" showAll="0">
      <items count="9">
        <item x="2"/>
        <item x="4"/>
        <item x="1"/>
        <item x="3"/>
        <item x="0"/>
        <item x="5"/>
        <item x="6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76" showAll="0"/>
    <pivotField numFmtId="177" showAll="0"/>
    <pivotField dataField="1" numFmtId="177" showAll="0"/>
    <pivotField numFmtId="176" showAll="0"/>
    <pivotField numFmtId="177" showAll="0"/>
    <pivotField dataField="1" numFmtId="177" showAll="0"/>
    <pivotField dataField="1" numFmtId="177" showAll="0"/>
  </pivotFields>
  <rowFields count="2">
    <field x="1"/>
    <field x="0"/>
  </rowFields>
  <rowItems count="12">
    <i>
      <x/>
    </i>
    <i r="1">
      <x/>
    </i>
    <i r="1">
      <x v="1"/>
    </i>
    <i>
      <x v="1"/>
    </i>
    <i r="1">
      <x v="4"/>
    </i>
    <i r="1">
      <x v="5"/>
    </i>
    <i r="1">
      <x v="6"/>
    </i>
    <i r="1">
      <x v="7"/>
    </i>
    <i>
      <x v="2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電影院總銷售量" fld="4" baseField="0" baseItem="0"/>
    <dataField name=" 影音平台總銷售量" fld="7" baseField="0" baseItem="0"/>
    <dataField name=" 銷售額合計" fld="8" baseField="0" baseItem="0"/>
  </dataFields>
  <formats count="10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" type="button" dataOnly="0" labelOnly="1" outline="0" axis="axisRow" fieldPosition="0"/>
    </format>
    <format dxfId="122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0">
      <pivotArea dataOnly="0" labelOnly="1" fieldPosition="0">
        <references count="2">
          <reference field="0" count="2">
            <x v="0"/>
            <x v="1"/>
          </reference>
          <reference field="1" count="1" selected="0">
            <x v="0"/>
          </reference>
        </references>
      </pivotArea>
    </format>
    <format dxfId="119">
      <pivotArea dataOnly="0" labelOnly="1" fieldPosition="0">
        <references count="2">
          <reference field="0" count="4">
            <x v="4"/>
            <x v="5"/>
            <x v="6"/>
            <x v="7"/>
          </reference>
          <reference field="1" count="1" selected="0">
            <x v="1"/>
          </reference>
        </references>
      </pivotArea>
    </format>
    <format dxfId="118">
      <pivotArea dataOnly="0" labelOnly="1" fieldPosition="0">
        <references count="2">
          <reference field="0" count="2">
            <x v="2"/>
            <x v="3"/>
          </reference>
          <reference field="1" count="1" selected="0">
            <x v="2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16">
      <pivotArea outline="0" collapsedLevelsAreSubtotals="1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EBF18-2392-4322-94F9-05270A2EDBE0}" name="樞紐分析表2" cacheId="24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2:C11" firstHeaderRow="0" firstDataRow="1" firstDataCol="1"/>
  <pivotFields count="7">
    <pivotField showAll="0"/>
    <pivotField axis="axisRow" showAll="0">
      <items count="9">
        <item x="0"/>
        <item x="2"/>
        <item x="1"/>
        <item x="4"/>
        <item x="3"/>
        <item x="5"/>
        <item x="7"/>
        <item x="6"/>
        <item t="default"/>
      </items>
    </pivotField>
    <pivotField dataField="1" numFmtId="177" showAll="0"/>
    <pivotField numFmtId="9" showAll="0"/>
    <pivotField numFmtId="177" showAll="0"/>
    <pivotField numFmtId="177" showAll="0"/>
    <pivotField dataField="1" numFmtId="177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電影銷售額" fld="2" baseField="0" baseItem="0"/>
    <dataField name=" 製作團隊版權" fld="6" baseField="0" baseItem="0"/>
  </dataFields>
  <formats count="7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" type="button" dataOnly="0" labelOnly="1" outline="0" axis="axisRow" fieldPosition="0"/>
    </format>
    <format dxfId="112">
      <pivotArea dataOnly="0" labelOnly="1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093CC-A3EF-47A4-9E9E-D3BF810DEAD6}" name="表格1" displayName="表格1" ref="A3:E11" totalsRowShown="0" headerRowDxfId="132" dataDxfId="131">
  <autoFilter ref="A3:E11" xr:uid="{1D6093CC-A3EF-47A4-9E9E-D3BF810DEAD6}"/>
  <tableColumns count="5">
    <tableColumn id="1" xr3:uid="{1E1BC62D-5919-4F8E-AA6B-0B8D728833CD}" name="電影編號" dataDxfId="130"/>
    <tableColumn id="2" xr3:uid="{5D44C401-E3C6-4C7B-9023-EC927C54EDAE}" name="電影片名" dataDxfId="129"/>
    <tableColumn id="3" xr3:uid="{A86FE6D3-BC5B-418D-A69A-51CF4B01205A}" name="簡介" dataDxfId="128"/>
    <tableColumn id="4" xr3:uid="{56DD3C86-8C26-4E1F-BE44-E18D1A8EE6AB}" name="類別" dataDxfId="127"/>
    <tableColumn id="5" xr3:uid="{81081F04-67B8-4A3B-9A69-AE9B5A768A5E}" name="上映日期" dataDxfId="126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1828BC-2F95-4216-B586-C1FF9CAF560F}" name="表格2" displayName="表格2" ref="A3:G11" totalsRowShown="0" headerRowDxfId="108" dataDxfId="107">
  <autoFilter ref="A3:G11" xr:uid="{5A1828BC-2F95-4216-B586-C1FF9CAF560F}"/>
  <tableColumns count="7">
    <tableColumn id="1" xr3:uid="{B34DD337-0D47-4AF2-8167-88EE638E5E16}" name="電影編號" dataDxfId="106"/>
    <tableColumn id="2" xr3:uid="{8282A671-D79E-4DC0-A4E6-4F25A7AF794E}" name="製作團隊代表" dataDxfId="105"/>
    <tableColumn id="3" xr3:uid="{DD066B73-1828-48FF-A385-0A63ABEC5F37}" name="銷售額" dataDxfId="104"/>
    <tableColumn id="4" xr3:uid="{DBD6B996-0D9E-4617-8D1F-29B41F6ED648}" name="製作團隊版權" dataDxfId="103"/>
    <tableColumn id="5" xr3:uid="{FF7239C1-57B6-46DA-92F1-0E56DAB0B6C6}" name="團隊預付款" dataDxfId="102"/>
    <tableColumn id="6" xr3:uid="{2C21505E-D2BB-4C85-AEA4-273F742A337E}" name="應付版權" dataDxfId="101">
      <calculatedColumnFormula>(D4*C4)-E4</calculatedColumnFormula>
    </tableColumn>
    <tableColumn id="7" xr3:uid="{715FF272-16B0-4D1E-AB91-31F08526CE23}" name="總付款額" dataDxfId="100">
      <calculatedColumnFormula>E4+F4</calculatedColumnFormula>
    </tableColumn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0E3C-85A8-465D-9CAB-C8CE9136C188}">
  <dimension ref="A1:E11"/>
  <sheetViews>
    <sheetView tabSelected="1" workbookViewId="0"/>
  </sheetViews>
  <sheetFormatPr defaultRowHeight="15.6" x14ac:dyDescent="0.3"/>
  <cols>
    <col min="1" max="2" width="20.77734375" style="1" customWidth="1"/>
    <col min="3" max="3" width="98.21875" style="8" bestFit="1" customWidth="1"/>
    <col min="4" max="4" width="20.77734375" style="11" customWidth="1"/>
    <col min="5" max="5" width="20.77734375" style="1" customWidth="1"/>
    <col min="6" max="16384" width="8.88671875" style="1"/>
  </cols>
  <sheetData>
    <row r="1" spans="1:5" ht="34.950000000000003" customHeight="1" x14ac:dyDescent="0.3">
      <c r="A1" s="27" t="s">
        <v>0</v>
      </c>
      <c r="B1" s="3"/>
      <c r="C1" s="6"/>
      <c r="D1" s="9"/>
      <c r="E1" s="3"/>
    </row>
    <row r="2" spans="1:5" ht="25.05" customHeight="1" x14ac:dyDescent="0.3">
      <c r="A2" s="4" t="s">
        <v>1</v>
      </c>
      <c r="B2" s="3"/>
      <c r="C2" s="6"/>
      <c r="D2" s="9"/>
      <c r="E2" s="3"/>
    </row>
    <row r="3" spans="1:5" ht="18" x14ac:dyDescent="0.3">
      <c r="A3" s="10" t="s">
        <v>2</v>
      </c>
      <c r="B3" s="2" t="s">
        <v>3</v>
      </c>
      <c r="C3" s="7" t="s">
        <v>4</v>
      </c>
      <c r="D3" s="10" t="s">
        <v>36</v>
      </c>
      <c r="E3" s="2" t="s">
        <v>5</v>
      </c>
    </row>
    <row r="4" spans="1:5" ht="18" x14ac:dyDescent="0.3">
      <c r="A4" s="10" t="s">
        <v>6</v>
      </c>
      <c r="B4" s="2" t="s">
        <v>7</v>
      </c>
      <c r="C4" s="7" t="s">
        <v>8</v>
      </c>
      <c r="D4" s="10" t="s">
        <v>9</v>
      </c>
      <c r="E4" s="5">
        <v>43831</v>
      </c>
    </row>
    <row r="5" spans="1:5" ht="18" x14ac:dyDescent="0.3">
      <c r="A5" s="10" t="s">
        <v>10</v>
      </c>
      <c r="B5" s="2" t="s">
        <v>11</v>
      </c>
      <c r="C5" s="7" t="s">
        <v>12</v>
      </c>
      <c r="D5" s="10" t="s">
        <v>13</v>
      </c>
      <c r="E5" s="5">
        <v>44026</v>
      </c>
    </row>
    <row r="6" spans="1:5" ht="36" x14ac:dyDescent="0.3">
      <c r="A6" s="10" t="s">
        <v>14</v>
      </c>
      <c r="B6" s="2" t="s">
        <v>15</v>
      </c>
      <c r="C6" s="7" t="s">
        <v>16</v>
      </c>
      <c r="D6" s="10" t="s">
        <v>17</v>
      </c>
      <c r="E6" s="5">
        <v>44075</v>
      </c>
    </row>
    <row r="7" spans="1:5" ht="18" x14ac:dyDescent="0.3">
      <c r="A7" s="10" t="s">
        <v>18</v>
      </c>
      <c r="B7" s="2" t="s">
        <v>19</v>
      </c>
      <c r="C7" s="7" t="s">
        <v>20</v>
      </c>
      <c r="D7" s="10" t="s">
        <v>13</v>
      </c>
      <c r="E7" s="5">
        <v>44196</v>
      </c>
    </row>
    <row r="8" spans="1:5" ht="18" x14ac:dyDescent="0.3">
      <c r="A8" s="10" t="s">
        <v>21</v>
      </c>
      <c r="B8" s="2" t="s">
        <v>22</v>
      </c>
      <c r="C8" s="7" t="s">
        <v>23</v>
      </c>
      <c r="D8" s="10" t="s">
        <v>17</v>
      </c>
      <c r="E8" s="5">
        <v>44197</v>
      </c>
    </row>
    <row r="9" spans="1:5" ht="18" x14ac:dyDescent="0.3">
      <c r="A9" s="10" t="s">
        <v>24</v>
      </c>
      <c r="B9" s="2" t="s">
        <v>25</v>
      </c>
      <c r="C9" s="7" t="s">
        <v>26</v>
      </c>
      <c r="D9" s="10" t="s">
        <v>9</v>
      </c>
      <c r="E9" s="5">
        <v>44255</v>
      </c>
    </row>
    <row r="10" spans="1:5" ht="18" x14ac:dyDescent="0.3">
      <c r="A10" s="10" t="s">
        <v>27</v>
      </c>
      <c r="B10" s="2" t="s">
        <v>28</v>
      </c>
      <c r="C10" s="7" t="s">
        <v>29</v>
      </c>
      <c r="D10" s="10" t="s">
        <v>9</v>
      </c>
      <c r="E10" s="5">
        <v>44290</v>
      </c>
    </row>
    <row r="11" spans="1:5" ht="18" x14ac:dyDescent="0.3">
      <c r="A11" s="10" t="s">
        <v>30</v>
      </c>
      <c r="B11" s="2" t="s">
        <v>31</v>
      </c>
      <c r="C11" s="7" t="s">
        <v>32</v>
      </c>
      <c r="D11" s="10" t="s">
        <v>9</v>
      </c>
      <c r="E11" s="5">
        <v>44316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1A33-6106-4242-AC2D-19D86D815717}">
  <dimension ref="A1:M13"/>
  <sheetViews>
    <sheetView workbookViewId="0"/>
  </sheetViews>
  <sheetFormatPr defaultRowHeight="15.6" x14ac:dyDescent="0.3"/>
  <cols>
    <col min="1" max="1" width="10.33203125" style="1" customWidth="1"/>
    <col min="2" max="2" width="12.77734375" style="1" customWidth="1"/>
    <col min="3" max="4" width="15.77734375" style="1" customWidth="1"/>
    <col min="5" max="5" width="20.77734375" style="1" customWidth="1"/>
    <col min="6" max="7" width="15.77734375" style="1" customWidth="1"/>
    <col min="8" max="9" width="20.77734375" style="1" customWidth="1"/>
    <col min="10" max="10" width="8.88671875" style="1"/>
    <col min="11" max="11" width="12.88671875" style="1" bestFit="1" customWidth="1"/>
    <col min="12" max="12" width="22.33203125" style="1" bestFit="1" customWidth="1"/>
    <col min="13" max="13" width="12.88671875" style="1" bestFit="1" customWidth="1"/>
    <col min="14" max="16384" width="8.88671875" style="1"/>
  </cols>
  <sheetData>
    <row r="1" spans="1:13" ht="34.950000000000003" customHeight="1" x14ac:dyDescent="0.3">
      <c r="A1" s="27" t="s">
        <v>0</v>
      </c>
      <c r="B1" s="3"/>
      <c r="C1" s="3"/>
      <c r="D1" s="3"/>
      <c r="E1" s="3"/>
      <c r="F1" s="3"/>
      <c r="G1" s="3"/>
      <c r="H1" s="3"/>
      <c r="I1" s="3"/>
    </row>
    <row r="2" spans="1:13" ht="25.05" customHeight="1" x14ac:dyDescent="0.3">
      <c r="A2" s="4" t="s">
        <v>33</v>
      </c>
      <c r="B2" s="3"/>
      <c r="C2" s="3"/>
      <c r="D2" s="3"/>
      <c r="E2" s="3"/>
      <c r="F2" s="3"/>
      <c r="G2" s="3"/>
      <c r="H2" s="3"/>
      <c r="I2" s="3"/>
      <c r="K2" s="26" t="s">
        <v>44</v>
      </c>
      <c r="L2" s="3"/>
      <c r="M2" s="3"/>
    </row>
    <row r="3" spans="1:13" s="11" customFormat="1" ht="34.950000000000003" customHeight="1" x14ac:dyDescent="0.3">
      <c r="A3" s="12" t="s">
        <v>34</v>
      </c>
      <c r="B3" s="12" t="s">
        <v>35</v>
      </c>
      <c r="C3" s="13" t="s">
        <v>37</v>
      </c>
      <c r="D3" s="13" t="s">
        <v>38</v>
      </c>
      <c r="E3" s="12" t="s">
        <v>72</v>
      </c>
      <c r="F3" s="13" t="s">
        <v>39</v>
      </c>
      <c r="G3" s="13" t="s">
        <v>40</v>
      </c>
      <c r="H3" s="12" t="s">
        <v>41</v>
      </c>
      <c r="I3" s="12" t="s">
        <v>43</v>
      </c>
      <c r="K3" s="12"/>
      <c r="L3" s="12" t="s">
        <v>48</v>
      </c>
      <c r="M3" s="13" t="s">
        <v>45</v>
      </c>
    </row>
    <row r="4" spans="1:13" x14ac:dyDescent="0.3">
      <c r="A4" s="1" t="s">
        <v>6</v>
      </c>
      <c r="B4" s="1" t="s">
        <v>9</v>
      </c>
      <c r="C4" s="14">
        <v>8412713</v>
      </c>
      <c r="D4" s="15">
        <v>330</v>
      </c>
      <c r="E4" s="15">
        <f>D4*C4</f>
        <v>2776195290</v>
      </c>
      <c r="F4" s="14">
        <v>333510</v>
      </c>
      <c r="G4" s="15">
        <v>120</v>
      </c>
      <c r="H4" s="15">
        <f t="shared" ref="H4:H11" si="0">G4*F4</f>
        <v>40021200</v>
      </c>
      <c r="I4" s="15">
        <f>H4+E4</f>
        <v>2816216490</v>
      </c>
      <c r="K4" s="1" t="s">
        <v>46</v>
      </c>
      <c r="L4" s="15">
        <v>15357594765</v>
      </c>
      <c r="M4" s="23">
        <f>L4/$L$6</f>
        <v>0.97728250999497468</v>
      </c>
    </row>
    <row r="5" spans="1:13" x14ac:dyDescent="0.3">
      <c r="A5" s="1" t="s">
        <v>10</v>
      </c>
      <c r="B5" s="1" t="s">
        <v>13</v>
      </c>
      <c r="C5" s="14">
        <v>590107</v>
      </c>
      <c r="D5" s="15">
        <v>280</v>
      </c>
      <c r="E5" s="15">
        <f t="shared" ref="E5:E11" si="1">D5*C5</f>
        <v>165229960</v>
      </c>
      <c r="F5" s="14">
        <v>693259</v>
      </c>
      <c r="G5" s="15">
        <v>90</v>
      </c>
      <c r="H5" s="15">
        <f t="shared" si="0"/>
        <v>62393310</v>
      </c>
      <c r="I5" s="15">
        <f t="shared" ref="I5:I11" si="2">H5+E5</f>
        <v>227623270</v>
      </c>
      <c r="K5" s="16" t="s">
        <v>47</v>
      </c>
      <c r="L5" s="18">
        <v>356996060</v>
      </c>
      <c r="M5" s="24">
        <f>L5/$L$6</f>
        <v>2.2717490005025313E-2</v>
      </c>
    </row>
    <row r="6" spans="1:13" ht="16.2" thickBot="1" x14ac:dyDescent="0.35">
      <c r="A6" s="1" t="s">
        <v>14</v>
      </c>
      <c r="B6" s="1" t="s">
        <v>17</v>
      </c>
      <c r="C6" s="14">
        <v>7864771</v>
      </c>
      <c r="D6" s="15">
        <v>280</v>
      </c>
      <c r="E6" s="15">
        <f t="shared" si="1"/>
        <v>2202135880</v>
      </c>
      <c r="F6" s="14">
        <v>384684</v>
      </c>
      <c r="G6" s="15">
        <v>90</v>
      </c>
      <c r="H6" s="15">
        <f t="shared" si="0"/>
        <v>34621560</v>
      </c>
      <c r="I6" s="15">
        <f t="shared" si="2"/>
        <v>2236757440</v>
      </c>
      <c r="K6" s="21" t="s">
        <v>42</v>
      </c>
      <c r="L6" s="22">
        <f>SUM(L4:L5)</f>
        <v>15714590825</v>
      </c>
      <c r="M6" s="25">
        <f>SUM(M4:M5)</f>
        <v>1</v>
      </c>
    </row>
    <row r="7" spans="1:13" ht="16.2" thickTop="1" x14ac:dyDescent="0.3">
      <c r="A7" s="1" t="s">
        <v>18</v>
      </c>
      <c r="B7" s="1" t="s">
        <v>13</v>
      </c>
      <c r="C7" s="14">
        <v>1823295</v>
      </c>
      <c r="D7" s="15">
        <v>320</v>
      </c>
      <c r="E7" s="15">
        <f t="shared" si="1"/>
        <v>583454400</v>
      </c>
      <c r="F7" s="14">
        <v>891461</v>
      </c>
      <c r="G7" s="15">
        <v>110</v>
      </c>
      <c r="H7" s="15">
        <f t="shared" si="0"/>
        <v>98060710</v>
      </c>
      <c r="I7" s="15">
        <f t="shared" si="2"/>
        <v>681515110</v>
      </c>
    </row>
    <row r="8" spans="1:13" x14ac:dyDescent="0.3">
      <c r="A8" s="1" t="s">
        <v>21</v>
      </c>
      <c r="B8" s="1" t="s">
        <v>17</v>
      </c>
      <c r="C8" s="14">
        <v>6871384</v>
      </c>
      <c r="D8" s="15">
        <v>330</v>
      </c>
      <c r="E8" s="15">
        <f t="shared" si="1"/>
        <v>2267556720</v>
      </c>
      <c r="F8" s="14">
        <v>399560</v>
      </c>
      <c r="G8" s="15">
        <v>150</v>
      </c>
      <c r="H8" s="15">
        <f t="shared" si="0"/>
        <v>59934000</v>
      </c>
      <c r="I8" s="15">
        <f t="shared" si="2"/>
        <v>2327490720</v>
      </c>
    </row>
    <row r="9" spans="1:13" x14ac:dyDescent="0.3">
      <c r="A9" s="1" t="s">
        <v>24</v>
      </c>
      <c r="B9" s="1" t="s">
        <v>9</v>
      </c>
      <c r="C9" s="14">
        <v>7855246</v>
      </c>
      <c r="D9" s="15">
        <v>350</v>
      </c>
      <c r="E9" s="15">
        <f t="shared" si="1"/>
        <v>2749336100</v>
      </c>
      <c r="F9" s="14">
        <v>233678</v>
      </c>
      <c r="G9" s="15">
        <v>160</v>
      </c>
      <c r="H9" s="15">
        <f t="shared" si="0"/>
        <v>37388480</v>
      </c>
      <c r="I9" s="15">
        <f t="shared" si="2"/>
        <v>2786724580</v>
      </c>
    </row>
    <row r="10" spans="1:13" x14ac:dyDescent="0.3">
      <c r="A10" s="1" t="s">
        <v>27</v>
      </c>
      <c r="B10" s="1" t="s">
        <v>9</v>
      </c>
      <c r="C10" s="14">
        <v>9100871</v>
      </c>
      <c r="D10" s="15">
        <v>290</v>
      </c>
      <c r="E10" s="15">
        <f t="shared" si="1"/>
        <v>2639252590</v>
      </c>
      <c r="F10" s="14">
        <v>153138</v>
      </c>
      <c r="G10" s="15">
        <v>100</v>
      </c>
      <c r="H10" s="15">
        <f t="shared" si="0"/>
        <v>15313800</v>
      </c>
      <c r="I10" s="15">
        <f t="shared" si="2"/>
        <v>2654566390</v>
      </c>
    </row>
    <row r="11" spans="1:13" x14ac:dyDescent="0.3">
      <c r="A11" s="16" t="s">
        <v>30</v>
      </c>
      <c r="B11" s="16" t="s">
        <v>9</v>
      </c>
      <c r="C11" s="17">
        <v>6075181</v>
      </c>
      <c r="D11" s="18">
        <v>325</v>
      </c>
      <c r="E11" s="18">
        <f t="shared" si="1"/>
        <v>1974433825</v>
      </c>
      <c r="F11" s="14">
        <v>74104</v>
      </c>
      <c r="G11" s="15">
        <v>125</v>
      </c>
      <c r="H11" s="15">
        <f t="shared" si="0"/>
        <v>9263000</v>
      </c>
      <c r="I11" s="15">
        <f t="shared" si="2"/>
        <v>1983696825</v>
      </c>
    </row>
    <row r="12" spans="1:13" ht="16.2" thickBot="1" x14ac:dyDescent="0.35">
      <c r="A12" s="19" t="s">
        <v>42</v>
      </c>
      <c r="B12" s="19"/>
      <c r="C12" s="19"/>
      <c r="D12" s="19"/>
      <c r="E12" s="20">
        <f>SUM(E4:E11)</f>
        <v>15357594765</v>
      </c>
      <c r="F12" s="19"/>
      <c r="G12" s="19"/>
      <c r="H12" s="20">
        <f t="shared" ref="H12:I12" si="3">SUM(H4:H11)</f>
        <v>356996060</v>
      </c>
      <c r="I12" s="20">
        <f t="shared" si="3"/>
        <v>15714590825</v>
      </c>
    </row>
    <row r="13" spans="1:13" ht="16.2" thickTop="1" x14ac:dyDescent="0.3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CFA1-FC73-4AA4-B44B-59D544FA3B45}">
  <dimension ref="A1:D15"/>
  <sheetViews>
    <sheetView workbookViewId="0"/>
  </sheetViews>
  <sheetFormatPr defaultRowHeight="15.6" x14ac:dyDescent="0.3"/>
  <cols>
    <col min="1" max="1" width="12.5546875" style="1" bestFit="1" customWidth="1"/>
    <col min="2" max="2" width="25" style="1" bestFit="1" customWidth="1"/>
    <col min="3" max="3" width="20.88671875" style="1" bestFit="1" customWidth="1"/>
    <col min="4" max="4" width="22.33203125" style="1" bestFit="1" customWidth="1"/>
    <col min="5" max="16384" width="8.88671875" style="1"/>
  </cols>
  <sheetData>
    <row r="1" spans="1:4" ht="34.950000000000003" customHeight="1" x14ac:dyDescent="0.3">
      <c r="A1" s="27" t="s">
        <v>0</v>
      </c>
      <c r="B1" s="3"/>
      <c r="C1" s="3"/>
      <c r="D1" s="3"/>
    </row>
    <row r="2" spans="1:4" ht="25.05" customHeight="1" x14ac:dyDescent="0.3">
      <c r="A2" s="4" t="s">
        <v>71</v>
      </c>
      <c r="B2" s="3"/>
      <c r="C2" s="3"/>
      <c r="D2" s="3"/>
    </row>
    <row r="3" spans="1:4" x14ac:dyDescent="0.3">
      <c r="A3" s="28" t="s">
        <v>49</v>
      </c>
      <c r="B3" s="1" t="s">
        <v>73</v>
      </c>
      <c r="C3" s="1" t="s">
        <v>51</v>
      </c>
      <c r="D3" s="1" t="s">
        <v>52</v>
      </c>
    </row>
    <row r="4" spans="1:4" x14ac:dyDescent="0.3">
      <c r="A4" s="29" t="s">
        <v>17</v>
      </c>
      <c r="B4" s="15">
        <v>4469692600</v>
      </c>
      <c r="C4" s="15">
        <v>94555560</v>
      </c>
      <c r="D4" s="15">
        <v>4564248160</v>
      </c>
    </row>
    <row r="5" spans="1:4" x14ac:dyDescent="0.3">
      <c r="A5" s="30" t="s">
        <v>14</v>
      </c>
      <c r="B5" s="15">
        <v>2202135880</v>
      </c>
      <c r="C5" s="15">
        <v>34621560</v>
      </c>
      <c r="D5" s="15">
        <v>2236757440</v>
      </c>
    </row>
    <row r="6" spans="1:4" x14ac:dyDescent="0.3">
      <c r="A6" s="30" t="s">
        <v>21</v>
      </c>
      <c r="B6" s="15">
        <v>2267556720</v>
      </c>
      <c r="C6" s="15">
        <v>59934000</v>
      </c>
      <c r="D6" s="15">
        <v>2327490720</v>
      </c>
    </row>
    <row r="7" spans="1:4" x14ac:dyDescent="0.3">
      <c r="A7" s="29" t="s">
        <v>9</v>
      </c>
      <c r="B7" s="15">
        <v>10139217805</v>
      </c>
      <c r="C7" s="15">
        <v>101986480</v>
      </c>
      <c r="D7" s="15">
        <v>10241204285</v>
      </c>
    </row>
    <row r="8" spans="1:4" x14ac:dyDescent="0.3">
      <c r="A8" s="30" t="s">
        <v>6</v>
      </c>
      <c r="B8" s="15">
        <v>2776195290</v>
      </c>
      <c r="C8" s="15">
        <v>40021200</v>
      </c>
      <c r="D8" s="15">
        <v>2816216490</v>
      </c>
    </row>
    <row r="9" spans="1:4" x14ac:dyDescent="0.3">
      <c r="A9" s="30" t="s">
        <v>24</v>
      </c>
      <c r="B9" s="15">
        <v>2749336100</v>
      </c>
      <c r="C9" s="15">
        <v>37388480</v>
      </c>
      <c r="D9" s="15">
        <v>2786724580</v>
      </c>
    </row>
    <row r="10" spans="1:4" x14ac:dyDescent="0.3">
      <c r="A10" s="30" t="s">
        <v>27</v>
      </c>
      <c r="B10" s="15">
        <v>2639252590</v>
      </c>
      <c r="C10" s="15">
        <v>15313800</v>
      </c>
      <c r="D10" s="15">
        <v>2654566390</v>
      </c>
    </row>
    <row r="11" spans="1:4" x14ac:dyDescent="0.3">
      <c r="A11" s="30" t="s">
        <v>30</v>
      </c>
      <c r="B11" s="15">
        <v>1974433825</v>
      </c>
      <c r="C11" s="15">
        <v>9263000</v>
      </c>
      <c r="D11" s="15">
        <v>1983696825</v>
      </c>
    </row>
    <row r="12" spans="1:4" x14ac:dyDescent="0.3">
      <c r="A12" s="29" t="s">
        <v>13</v>
      </c>
      <c r="B12" s="15">
        <v>748684360</v>
      </c>
      <c r="C12" s="15">
        <v>160454020</v>
      </c>
      <c r="D12" s="15">
        <v>909138380</v>
      </c>
    </row>
    <row r="13" spans="1:4" x14ac:dyDescent="0.3">
      <c r="A13" s="30" t="s">
        <v>10</v>
      </c>
      <c r="B13" s="15">
        <v>165229960</v>
      </c>
      <c r="C13" s="15">
        <v>62393310</v>
      </c>
      <c r="D13" s="15">
        <v>227623270</v>
      </c>
    </row>
    <row r="14" spans="1:4" x14ac:dyDescent="0.3">
      <c r="A14" s="30" t="s">
        <v>18</v>
      </c>
      <c r="B14" s="15">
        <v>583454400</v>
      </c>
      <c r="C14" s="15">
        <v>98060710</v>
      </c>
      <c r="D14" s="15">
        <v>681515110</v>
      </c>
    </row>
    <row r="15" spans="1:4" x14ac:dyDescent="0.3">
      <c r="A15" s="29" t="s">
        <v>50</v>
      </c>
      <c r="B15" s="15">
        <v>15357594765</v>
      </c>
      <c r="C15" s="15">
        <v>356996060</v>
      </c>
      <c r="D15" s="15">
        <v>15714590825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87EE-653E-4E76-98C5-9E91E61C6030}">
  <dimension ref="A2:C11"/>
  <sheetViews>
    <sheetView workbookViewId="0"/>
  </sheetViews>
  <sheetFormatPr defaultRowHeight="15.6" x14ac:dyDescent="0.3"/>
  <cols>
    <col min="1" max="1" width="11.109375" style="1" bestFit="1" customWidth="1"/>
    <col min="2" max="2" width="25.88671875" style="1" bestFit="1" customWidth="1"/>
    <col min="3" max="3" width="24.33203125" style="1" bestFit="1" customWidth="1"/>
    <col min="4" max="16384" width="8.88671875" style="1"/>
  </cols>
  <sheetData>
    <row r="2" spans="1:3" x14ac:dyDescent="0.3">
      <c r="A2" s="28" t="s">
        <v>49</v>
      </c>
      <c r="B2" s="1" t="s">
        <v>68</v>
      </c>
      <c r="C2" s="1" t="s">
        <v>69</v>
      </c>
    </row>
    <row r="3" spans="1:3" x14ac:dyDescent="0.3">
      <c r="A3" s="29" t="s">
        <v>58</v>
      </c>
      <c r="B3" s="32">
        <v>2816216490</v>
      </c>
      <c r="C3" s="32">
        <v>1408108245</v>
      </c>
    </row>
    <row r="4" spans="1:3" x14ac:dyDescent="0.3">
      <c r="A4" s="29" t="s">
        <v>66</v>
      </c>
      <c r="B4" s="32">
        <v>2236757440</v>
      </c>
      <c r="C4" s="32">
        <v>671027232</v>
      </c>
    </row>
    <row r="5" spans="1:3" x14ac:dyDescent="0.3">
      <c r="A5" s="29" t="s">
        <v>62</v>
      </c>
      <c r="B5" s="32">
        <v>227623270</v>
      </c>
      <c r="C5" s="32">
        <v>91049308</v>
      </c>
    </row>
    <row r="6" spans="1:3" x14ac:dyDescent="0.3">
      <c r="A6" s="29" t="s">
        <v>67</v>
      </c>
      <c r="B6" s="32">
        <v>2327490720</v>
      </c>
      <c r="C6" s="32">
        <v>1861992576</v>
      </c>
    </row>
    <row r="7" spans="1:3" x14ac:dyDescent="0.3">
      <c r="A7" s="29" t="s">
        <v>64</v>
      </c>
      <c r="B7" s="32">
        <v>681515110</v>
      </c>
      <c r="C7" s="32">
        <v>272606044</v>
      </c>
    </row>
    <row r="8" spans="1:3" x14ac:dyDescent="0.3">
      <c r="A8" s="29" t="s">
        <v>59</v>
      </c>
      <c r="B8" s="32">
        <v>2786724580</v>
      </c>
      <c r="C8" s="32">
        <v>2229379664</v>
      </c>
    </row>
    <row r="9" spans="1:3" x14ac:dyDescent="0.3">
      <c r="A9" s="29" t="s">
        <v>61</v>
      </c>
      <c r="B9" s="32">
        <v>1983696825</v>
      </c>
      <c r="C9" s="32">
        <v>1785327142.5</v>
      </c>
    </row>
    <row r="10" spans="1:3" x14ac:dyDescent="0.3">
      <c r="A10" s="29" t="s">
        <v>60</v>
      </c>
      <c r="B10" s="32">
        <v>2654566390</v>
      </c>
      <c r="C10" s="32">
        <v>1327283195</v>
      </c>
    </row>
    <row r="11" spans="1:3" x14ac:dyDescent="0.3">
      <c r="A11" s="29" t="s">
        <v>50</v>
      </c>
      <c r="B11" s="32">
        <v>15714590825</v>
      </c>
      <c r="C11" s="32">
        <v>9646773406.5</v>
      </c>
    </row>
  </sheetData>
  <phoneticPr fontId="2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85B8-A99F-430C-A89E-4A635E6043A1}">
  <dimension ref="A1:G11"/>
  <sheetViews>
    <sheetView workbookViewId="0"/>
  </sheetViews>
  <sheetFormatPr defaultRowHeight="15.6" x14ac:dyDescent="0.3"/>
  <cols>
    <col min="1" max="1" width="12.77734375" style="1" customWidth="1"/>
    <col min="2" max="2" width="19.77734375" style="1" bestFit="1" customWidth="1"/>
    <col min="3" max="3" width="25.77734375" style="1" customWidth="1"/>
    <col min="4" max="4" width="16.21875" style="11" customWidth="1"/>
    <col min="5" max="7" width="25.77734375" style="1" customWidth="1"/>
    <col min="8" max="16384" width="8.88671875" style="1"/>
  </cols>
  <sheetData>
    <row r="1" spans="1:7" ht="34.950000000000003" customHeight="1" x14ac:dyDescent="0.3">
      <c r="A1" s="27" t="s">
        <v>0</v>
      </c>
      <c r="B1" s="3"/>
      <c r="C1" s="3"/>
      <c r="D1" s="9"/>
      <c r="E1" s="3"/>
      <c r="F1" s="3"/>
      <c r="G1" s="3"/>
    </row>
    <row r="2" spans="1:7" ht="25.05" customHeight="1" x14ac:dyDescent="0.3">
      <c r="A2" s="4" t="s">
        <v>53</v>
      </c>
      <c r="B2" s="3"/>
      <c r="C2" s="3"/>
      <c r="D2" s="9"/>
      <c r="E2" s="3"/>
      <c r="F2" s="3"/>
      <c r="G2" s="3"/>
    </row>
    <row r="3" spans="1:7" s="11" customFormat="1" x14ac:dyDescent="0.3">
      <c r="A3" s="11" t="s">
        <v>2</v>
      </c>
      <c r="B3" s="11" t="s">
        <v>70</v>
      </c>
      <c r="C3" s="11" t="s">
        <v>48</v>
      </c>
      <c r="D3" s="11" t="s">
        <v>54</v>
      </c>
      <c r="E3" s="11" t="s">
        <v>55</v>
      </c>
      <c r="F3" s="11" t="s">
        <v>56</v>
      </c>
      <c r="G3" s="11" t="s">
        <v>57</v>
      </c>
    </row>
    <row r="4" spans="1:7" x14ac:dyDescent="0.3">
      <c r="A4" s="1" t="s">
        <v>6</v>
      </c>
      <c r="B4" s="1" t="s">
        <v>58</v>
      </c>
      <c r="C4" s="15">
        <v>2816216490</v>
      </c>
      <c r="D4" s="31">
        <v>0.5</v>
      </c>
      <c r="E4" s="15">
        <v>100000000</v>
      </c>
      <c r="F4" s="15">
        <f>(D4*C4)-E4</f>
        <v>1308108245</v>
      </c>
      <c r="G4" s="15">
        <f>E4+F4</f>
        <v>1408108245</v>
      </c>
    </row>
    <row r="5" spans="1:7" x14ac:dyDescent="0.3">
      <c r="A5" s="1" t="s">
        <v>10</v>
      </c>
      <c r="B5" s="1" t="s">
        <v>63</v>
      </c>
      <c r="C5" s="15">
        <v>227623270</v>
      </c>
      <c r="D5" s="31">
        <v>0.4</v>
      </c>
      <c r="E5" s="15">
        <v>300000000</v>
      </c>
      <c r="F5" s="15">
        <f>(D5*C5)-E5</f>
        <v>-208950692</v>
      </c>
      <c r="G5" s="15">
        <f t="shared" ref="G5:G11" si="0">E5+F5</f>
        <v>91049308</v>
      </c>
    </row>
    <row r="6" spans="1:7" x14ac:dyDescent="0.3">
      <c r="A6" s="1" t="s">
        <v>14</v>
      </c>
      <c r="B6" s="1" t="s">
        <v>66</v>
      </c>
      <c r="C6" s="15">
        <v>2236757440</v>
      </c>
      <c r="D6" s="31">
        <v>0.3</v>
      </c>
      <c r="E6" s="15">
        <v>80000000</v>
      </c>
      <c r="F6" s="15">
        <f t="shared" ref="F6:F11" si="1">(D6*C6)-E6</f>
        <v>591027232</v>
      </c>
      <c r="G6" s="15">
        <f t="shared" si="0"/>
        <v>671027232</v>
      </c>
    </row>
    <row r="7" spans="1:7" x14ac:dyDescent="0.3">
      <c r="A7" s="1" t="s">
        <v>18</v>
      </c>
      <c r="B7" s="1" t="s">
        <v>65</v>
      </c>
      <c r="C7" s="15">
        <v>681515110</v>
      </c>
      <c r="D7" s="31">
        <v>0.4</v>
      </c>
      <c r="E7" s="15">
        <v>300000000</v>
      </c>
      <c r="F7" s="15">
        <f t="shared" si="1"/>
        <v>-27393956</v>
      </c>
      <c r="G7" s="15">
        <f t="shared" si="0"/>
        <v>272606044</v>
      </c>
    </row>
    <row r="8" spans="1:7" x14ac:dyDescent="0.3">
      <c r="A8" s="1" t="s">
        <v>21</v>
      </c>
      <c r="B8" s="1" t="s">
        <v>67</v>
      </c>
      <c r="C8" s="15">
        <v>2327490720</v>
      </c>
      <c r="D8" s="31">
        <v>0.8</v>
      </c>
      <c r="E8" s="15">
        <v>0</v>
      </c>
      <c r="F8" s="15">
        <f t="shared" si="1"/>
        <v>1861992576</v>
      </c>
      <c r="G8" s="15">
        <f t="shared" si="0"/>
        <v>1861992576</v>
      </c>
    </row>
    <row r="9" spans="1:7" x14ac:dyDescent="0.3">
      <c r="A9" s="1" t="s">
        <v>24</v>
      </c>
      <c r="B9" s="1" t="s">
        <v>59</v>
      </c>
      <c r="C9" s="15">
        <v>2786724580</v>
      </c>
      <c r="D9" s="31">
        <v>0.8</v>
      </c>
      <c r="E9" s="15">
        <v>500000000</v>
      </c>
      <c r="F9" s="15">
        <f t="shared" si="1"/>
        <v>1729379664</v>
      </c>
      <c r="G9" s="15">
        <f t="shared" si="0"/>
        <v>2229379664</v>
      </c>
    </row>
    <row r="10" spans="1:7" x14ac:dyDescent="0.3">
      <c r="A10" s="1" t="s">
        <v>27</v>
      </c>
      <c r="B10" s="1" t="s">
        <v>60</v>
      </c>
      <c r="C10" s="15">
        <v>2654566390</v>
      </c>
      <c r="D10" s="31">
        <v>0.5</v>
      </c>
      <c r="E10" s="15">
        <v>100000000</v>
      </c>
      <c r="F10" s="15">
        <f t="shared" si="1"/>
        <v>1227283195</v>
      </c>
      <c r="G10" s="15">
        <f t="shared" si="0"/>
        <v>1327283195</v>
      </c>
    </row>
    <row r="11" spans="1:7" x14ac:dyDescent="0.3">
      <c r="A11" s="1" t="s">
        <v>30</v>
      </c>
      <c r="B11" s="1" t="s">
        <v>61</v>
      </c>
      <c r="C11" s="15">
        <v>1983696825</v>
      </c>
      <c r="D11" s="31">
        <v>0.9</v>
      </c>
      <c r="E11" s="15">
        <v>0</v>
      </c>
      <c r="F11" s="15">
        <f t="shared" si="1"/>
        <v>1785327142.5</v>
      </c>
      <c r="G11" s="15">
        <f t="shared" si="0"/>
        <v>1785327142.5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5E28D5B02B07E4DB22E0CDD299B3D4E" ma:contentTypeVersion="2" ma:contentTypeDescription="建立新的文件。" ma:contentTypeScope="" ma:versionID="1ceee1b0b7464ceb674a54215d5c935a">
  <xsd:schema xmlns:xsd="http://www.w3.org/2001/XMLSchema" xmlns:xs="http://www.w3.org/2001/XMLSchema" xmlns:p="http://schemas.microsoft.com/office/2006/metadata/properties" xmlns:ns2="78f0e584-11c4-49ff-b173-4bb87e503819" targetNamespace="http://schemas.microsoft.com/office/2006/metadata/properties" ma:root="true" ma:fieldsID="adba638c17233bd54f0a79033de5b534" ns2:_="">
    <xsd:import namespace="78f0e584-11c4-49ff-b173-4bb87e50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0e584-11c4-49ff-b173-4bb87e50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D4B4D5-EA69-4631-86E0-8E96021316F2}"/>
</file>

<file path=customXml/itemProps2.xml><?xml version="1.0" encoding="utf-8"?>
<ds:datastoreItem xmlns:ds="http://schemas.openxmlformats.org/officeDocument/2006/customXml" ds:itemID="{A23FE511-1EC1-4BB0-957D-4C0BC80FD9BF}"/>
</file>

<file path=customXml/itemProps3.xml><?xml version="1.0" encoding="utf-8"?>
<ds:datastoreItem xmlns:ds="http://schemas.openxmlformats.org/officeDocument/2006/customXml" ds:itemID="{9BEF0769-F8B9-4385-9C07-361250D38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電影</vt:lpstr>
      <vt:lpstr>銷量</vt:lpstr>
      <vt:lpstr>銷量分析</vt:lpstr>
      <vt:lpstr>版權分析</vt:lpstr>
      <vt:lpstr>版權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</dc:creator>
  <cp:lastModifiedBy>Yvonne</cp:lastModifiedBy>
  <dcterms:created xsi:type="dcterms:W3CDTF">2021-05-13T14:20:42Z</dcterms:created>
  <dcterms:modified xsi:type="dcterms:W3CDTF">2021-05-13T15:54:26Z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0x010100D5E28D5B02B07E4DB22E0CDD299B3D4E</vt:lpwstr>
  </property>
</Properties>
</file>