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OSBOOK進行中ing\Excel2019Expert\題目設計\處理中\"/>
    </mc:Choice>
  </mc:AlternateContent>
  <xr:revisionPtr revIDLastSave="0" documentId="13_ncr:1_{ACFE6496-F629-4258-82CC-E5BBA95C29EF}" xr6:coauthVersionLast="46" xr6:coauthVersionMax="46" xr10:uidLastSave="{00000000-0000-0000-0000-000000000000}"/>
  <bookViews>
    <workbookView xWindow="-120" yWindow="-120" windowWidth="29040" windowHeight="15840" tabRatio="761" xr2:uid="{00000000-000D-0000-FFFF-FFFF00000000}"/>
  </bookViews>
  <sheets>
    <sheet name="盈收預測分析藍本" sheetId="16" r:id="rId1"/>
    <sheet name="銷售量" sheetId="18" r:id="rId2"/>
    <sheet name="業務員考績" sheetId="7" r:id="rId3"/>
    <sheet name="營業點" sheetId="17" r:id="rId4"/>
    <sheet name="第一季銷售分析" sheetId="19" r:id="rId5"/>
    <sheet name="第一季銷售" sheetId="20" state="hidden" r:id="rId6"/>
  </sheets>
  <definedNames>
    <definedName name="anscount" hidden="1">1</definedName>
    <definedName name="獎金對照表">業務員考績!$K$3:$O$6</definedName>
  </definedNames>
  <calcPr calcId="191029"/>
  <pivotCaches>
    <pivotCache cacheId="3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5" i="20" l="1"/>
  <c r="G194" i="20"/>
  <c r="G193" i="20"/>
  <c r="G192" i="20"/>
  <c r="G191" i="20"/>
  <c r="G190" i="20"/>
  <c r="G189" i="20"/>
  <c r="G188" i="20"/>
  <c r="G187" i="20"/>
  <c r="G186" i="20"/>
  <c r="G185" i="20"/>
  <c r="G184" i="20"/>
  <c r="G183" i="20"/>
  <c r="G182" i="20"/>
  <c r="G181" i="20"/>
  <c r="G180" i="20"/>
  <c r="G179" i="20"/>
  <c r="G178" i="20"/>
  <c r="G177" i="20"/>
  <c r="G176" i="20"/>
  <c r="G175" i="20"/>
  <c r="G174" i="20"/>
  <c r="G173" i="20"/>
  <c r="G172" i="20"/>
  <c r="G171" i="20"/>
  <c r="G170" i="20"/>
  <c r="G169" i="20"/>
  <c r="G168" i="20"/>
  <c r="G167" i="20"/>
  <c r="G166" i="20"/>
  <c r="G165" i="20"/>
  <c r="G164" i="20"/>
  <c r="G163" i="20"/>
  <c r="G162" i="20"/>
  <c r="G161" i="20"/>
  <c r="G160" i="20"/>
  <c r="G159" i="20"/>
  <c r="G158" i="20"/>
  <c r="G157" i="20"/>
  <c r="G156" i="20"/>
  <c r="G155" i="20"/>
  <c r="G154" i="20"/>
  <c r="G153" i="20"/>
  <c r="G152" i="20"/>
  <c r="G151" i="20"/>
  <c r="G150" i="20"/>
  <c r="G149" i="20"/>
  <c r="G148" i="20"/>
  <c r="G147" i="20"/>
  <c r="G146" i="20"/>
  <c r="G145" i="20"/>
  <c r="G144" i="20"/>
  <c r="G143" i="20"/>
  <c r="G142" i="20"/>
  <c r="G141" i="20"/>
  <c r="G140" i="20"/>
  <c r="G139" i="20"/>
  <c r="G138" i="20"/>
  <c r="G137" i="20"/>
  <c r="G136" i="20"/>
  <c r="G135" i="20"/>
  <c r="G134" i="20"/>
  <c r="G133" i="20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3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7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C12" i="16"/>
  <c r="C14" i="16" s="1"/>
  <c r="D12" i="16" l="1"/>
  <c r="D14" i="16" s="1"/>
  <c r="H12" i="16"/>
  <c r="G12" i="16"/>
  <c r="E12" i="16"/>
  <c r="E14" i="16" s="1"/>
  <c r="F12" i="16"/>
  <c r="F14" i="16" l="1"/>
  <c r="H14" i="16" l="1"/>
  <c r="G14" i="16"/>
</calcChain>
</file>

<file path=xl/sharedStrings.xml><?xml version="1.0" encoding="utf-8"?>
<sst xmlns="http://schemas.openxmlformats.org/spreadsheetml/2006/main" count="820" uniqueCount="422">
  <si>
    <t>收入</t>
  </si>
  <si>
    <t>材料</t>
  </si>
  <si>
    <t>總費用</t>
  </si>
  <si>
    <t>BIZLOT Corporation</t>
    <phoneticPr fontId="4" type="noConversion"/>
  </si>
  <si>
    <t>費用</t>
    <phoneticPr fontId="4" type="noConversion"/>
  </si>
  <si>
    <t>管銷</t>
    <phoneticPr fontId="4" type="noConversion"/>
  </si>
  <si>
    <t>營運</t>
    <phoneticPr fontId="4" type="noConversion"/>
  </si>
  <si>
    <t>研發</t>
    <phoneticPr fontId="4" type="noConversion"/>
  </si>
  <si>
    <t>其他</t>
    <phoneticPr fontId="4" type="noConversion"/>
  </si>
  <si>
    <t>稅前盈餘</t>
    <phoneticPr fontId="4" type="noConversion"/>
  </si>
  <si>
    <t>獎金</t>
    <phoneticPr fontId="4" type="noConversion"/>
  </si>
  <si>
    <t>李小華</t>
  </si>
  <si>
    <t>周添旺</t>
  </si>
  <si>
    <t>林玉華</t>
  </si>
  <si>
    <t>沈玉如</t>
  </si>
  <si>
    <t>趙珮鳳</t>
  </si>
  <si>
    <t>錢政德</t>
  </si>
  <si>
    <t>孫大寶</t>
  </si>
  <si>
    <t>李正華</t>
  </si>
  <si>
    <t>吳美慧</t>
  </si>
  <si>
    <t>鄭盛治</t>
  </si>
  <si>
    <t>王麗雲</t>
  </si>
  <si>
    <t>陳鴻文</t>
  </si>
  <si>
    <t>馮賜方</t>
  </si>
  <si>
    <t>黃豐名</t>
  </si>
  <si>
    <t>蔡志佑</t>
  </si>
  <si>
    <t>林小玉</t>
  </si>
  <si>
    <t>高偉泓</t>
  </si>
  <si>
    <t>劉聰穎</t>
  </si>
  <si>
    <t>余龍文</t>
  </si>
  <si>
    <t>江志嘉</t>
  </si>
  <si>
    <t>楊子明</t>
  </si>
  <si>
    <t>莊凱勝</t>
  </si>
  <si>
    <t>顏樹清</t>
  </si>
  <si>
    <t>簡家家</t>
  </si>
  <si>
    <t>陳百民</t>
  </si>
  <si>
    <t>2022年</t>
  </si>
  <si>
    <t>2023年</t>
  </si>
  <si>
    <t>2024年</t>
  </si>
  <si>
    <t>縣市</t>
    <phoneticPr fontId="4" type="noConversion"/>
  </si>
  <si>
    <t>營業點</t>
    <phoneticPr fontId="4" type="noConversion"/>
  </si>
  <si>
    <t>人力</t>
    <phoneticPr fontId="4" type="noConversion"/>
  </si>
  <si>
    <t>支出</t>
    <phoneticPr fontId="4" type="noConversion"/>
  </si>
  <si>
    <t>收入</t>
    <phoneticPr fontId="4" type="noConversion"/>
  </si>
  <si>
    <t>營業點總數：</t>
    <phoneticPr fontId="4" type="noConversion"/>
  </si>
  <si>
    <t>台北市</t>
    <phoneticPr fontId="4" type="noConversion"/>
  </si>
  <si>
    <t>大台北地區總人力：</t>
    <phoneticPr fontId="4" type="noConversion"/>
  </si>
  <si>
    <t>新北市</t>
    <phoneticPr fontId="4" type="noConversion"/>
  </si>
  <si>
    <t>北高兩市總收入：</t>
    <phoneticPr fontId="4" type="noConversion"/>
  </si>
  <si>
    <t>桃園市</t>
    <phoneticPr fontId="4" type="noConversion"/>
  </si>
  <si>
    <t>台中市</t>
    <phoneticPr fontId="4" type="noConversion"/>
  </si>
  <si>
    <t>台南市</t>
    <phoneticPr fontId="4" type="noConversion"/>
  </si>
  <si>
    <t>高雄市</t>
    <phoneticPr fontId="4" type="noConversion"/>
  </si>
  <si>
    <t>鄭小村</t>
    <phoneticPr fontId="4" type="noConversion"/>
  </si>
  <si>
    <t>林佳珍</t>
    <phoneticPr fontId="4" type="noConversion"/>
  </si>
  <si>
    <t>邱鼎盛</t>
    <phoneticPr fontId="4" type="noConversion"/>
  </si>
  <si>
    <t>白憶如</t>
    <phoneticPr fontId="4" type="noConversion"/>
  </si>
  <si>
    <t>鄭伶汶</t>
    <phoneticPr fontId="4" type="noConversion"/>
  </si>
  <si>
    <t>2020(去年)</t>
    <phoneticPr fontId="23" type="noConversion"/>
  </si>
  <si>
    <t>2021年</t>
    <phoneticPr fontId="23" type="noConversion"/>
  </si>
  <si>
    <t>2025年</t>
  </si>
  <si>
    <t>姓名</t>
    <phoneticPr fontId="4" type="noConversion"/>
  </si>
  <si>
    <t>電源</t>
  </si>
  <si>
    <t>繼電器</t>
  </si>
  <si>
    <t>開關</t>
  </si>
  <si>
    <t>電池</t>
  </si>
  <si>
    <t>考績</t>
    <phoneticPr fontId="4" type="noConversion"/>
  </si>
  <si>
    <t>甲</t>
    <phoneticPr fontId="4" type="noConversion"/>
  </si>
  <si>
    <t>乙</t>
  </si>
  <si>
    <t>丙</t>
  </si>
  <si>
    <t>丁</t>
  </si>
  <si>
    <t>優</t>
    <phoneticPr fontId="4" type="noConversion"/>
  </si>
  <si>
    <t>積分</t>
    <phoneticPr fontId="4" type="noConversion"/>
  </si>
  <si>
    <t>考績獎金對照表</t>
    <phoneticPr fontId="4" type="noConversion"/>
  </si>
  <si>
    <t>業務員考績</t>
    <phoneticPr fontId="4" type="noConversion"/>
  </si>
  <si>
    <t>地區</t>
    <phoneticPr fontId="4" type="noConversion"/>
  </si>
  <si>
    <t>工號</t>
    <phoneticPr fontId="4" type="noConversion"/>
  </si>
  <si>
    <t>e24516</t>
  </si>
  <si>
    <t>e36061</t>
  </si>
  <si>
    <t>e44248</t>
  </si>
  <si>
    <t>e54046</t>
  </si>
  <si>
    <t>e42424</t>
  </si>
  <si>
    <t>e52303</t>
  </si>
  <si>
    <t>e16180</t>
  </si>
  <si>
    <t>e41612</t>
  </si>
  <si>
    <t>e17755</t>
  </si>
  <si>
    <t>e35319</t>
  </si>
  <si>
    <t>e42820</t>
  </si>
  <si>
    <t>e34158</t>
  </si>
  <si>
    <t>e45061</t>
  </si>
  <si>
    <t>e30638</t>
  </si>
  <si>
    <t>e21338</t>
  </si>
  <si>
    <t>e43731</t>
  </si>
  <si>
    <t>e23684</t>
  </si>
  <si>
    <t>e47479</t>
  </si>
  <si>
    <t>e52599</t>
  </si>
  <si>
    <t>e15954</t>
  </si>
  <si>
    <t>e44910</t>
  </si>
  <si>
    <t>e51904</t>
  </si>
  <si>
    <t>e18226</t>
  </si>
  <si>
    <t>e51891</t>
  </si>
  <si>
    <t>e26681</t>
  </si>
  <si>
    <t>e33187</t>
  </si>
  <si>
    <t>e16214</t>
  </si>
  <si>
    <t>e16533</t>
  </si>
  <si>
    <t>e32240</t>
  </si>
  <si>
    <t>e51483</t>
  </si>
  <si>
    <t>產品線</t>
    <phoneticPr fontId="4" type="noConversion"/>
  </si>
  <si>
    <t>福利金</t>
    <phoneticPr fontId="4" type="noConversion"/>
  </si>
  <si>
    <t>年月</t>
    <phoneticPr fontId="4" type="noConversion"/>
  </si>
  <si>
    <t>電源</t>
    <phoneticPr fontId="4" type="noConversion"/>
  </si>
  <si>
    <t>繼電器</t>
    <phoneticPr fontId="4" type="noConversion"/>
  </si>
  <si>
    <t>開關</t>
    <phoneticPr fontId="4" type="noConversion"/>
  </si>
  <si>
    <t>調整器</t>
    <phoneticPr fontId="4" type="noConversion"/>
  </si>
  <si>
    <t>電池</t>
    <phoneticPr fontId="4" type="noConversion"/>
  </si>
  <si>
    <t>2000年1月</t>
    <phoneticPr fontId="4" type="noConversion"/>
  </si>
  <si>
    <t>2000年2月</t>
  </si>
  <si>
    <t>2000年3月</t>
  </si>
  <si>
    <t>2000年4月</t>
  </si>
  <si>
    <t>2000年5月</t>
  </si>
  <si>
    <t>2000年6月</t>
  </si>
  <si>
    <t>2000年7月</t>
  </si>
  <si>
    <t>2000年8月</t>
  </si>
  <si>
    <t>2000年9月</t>
  </si>
  <si>
    <t>2000年10月</t>
  </si>
  <si>
    <t>2000年11月</t>
  </si>
  <si>
    <t>2000年12月</t>
  </si>
  <si>
    <t>2001年1月</t>
    <phoneticPr fontId="4" type="noConversion"/>
  </si>
  <si>
    <t>2001年2月</t>
  </si>
  <si>
    <t>2001年3月</t>
  </si>
  <si>
    <t>2001年4月</t>
  </si>
  <si>
    <t>2001年5月</t>
  </si>
  <si>
    <t>2001年6月</t>
  </si>
  <si>
    <t>2001年7月</t>
  </si>
  <si>
    <t>2001年8月</t>
  </si>
  <si>
    <t>2001年9月</t>
  </si>
  <si>
    <t>2001年10月</t>
  </si>
  <si>
    <t>2001年11月</t>
  </si>
  <si>
    <t>2001年12月</t>
  </si>
  <si>
    <t>近兩年每月商品銷售量</t>
    <phoneticPr fontId="4" type="noConversion"/>
  </si>
  <si>
    <t>五年盈收與費用預測</t>
    <phoneticPr fontId="4" type="noConversion"/>
  </si>
  <si>
    <t>BIZLOT公司</t>
    <phoneticPr fontId="35" type="noConversion"/>
  </si>
  <si>
    <t>第一季日銷售明細</t>
    <phoneticPr fontId="35" type="noConversion"/>
  </si>
  <si>
    <t>日期</t>
    <phoneticPr fontId="35" type="noConversion"/>
  </si>
  <si>
    <t>產品類別</t>
    <phoneticPr fontId="35" type="noConversion"/>
  </si>
  <si>
    <t>單價</t>
    <phoneticPr fontId="35" type="noConversion"/>
  </si>
  <si>
    <t>單位</t>
    <phoneticPr fontId="35" type="noConversion"/>
  </si>
  <si>
    <t>消費金額</t>
    <phoneticPr fontId="35" type="noConversion"/>
  </si>
  <si>
    <t>110.1.1(五)</t>
  </si>
  <si>
    <t>110.1.2(六)</t>
  </si>
  <si>
    <t>110.1.3(日)</t>
  </si>
  <si>
    <t>110.1.6(三)</t>
  </si>
  <si>
    <t>110.1.9(六)</t>
  </si>
  <si>
    <t>110.1.10(日)</t>
  </si>
  <si>
    <t>110.1.11(一)</t>
  </si>
  <si>
    <t>110.1.12(二)</t>
  </si>
  <si>
    <t>110.1.13(三)</t>
  </si>
  <si>
    <t>110.1.14(四)</t>
  </si>
  <si>
    <t>110.1.15(五)</t>
  </si>
  <si>
    <t>110.1.16(六)</t>
  </si>
  <si>
    <t>110.1.17(日)</t>
  </si>
  <si>
    <t>110.1.19(二)</t>
  </si>
  <si>
    <t>110.1.20(三)</t>
  </si>
  <si>
    <t>110.1.21(四)</t>
  </si>
  <si>
    <t>110.1.22(五)</t>
  </si>
  <si>
    <t>110.1.23(六)</t>
  </si>
  <si>
    <t>110.1.24(日)</t>
  </si>
  <si>
    <t>110.1.25(一)</t>
  </si>
  <si>
    <t>110.1.26(二)</t>
  </si>
  <si>
    <t>110.1.27(三)</t>
  </si>
  <si>
    <t>110.1.28(四)</t>
  </si>
  <si>
    <t>110.1.29(五)</t>
  </si>
  <si>
    <t>110.1.30(六)</t>
  </si>
  <si>
    <t>110.1.31(日)</t>
  </si>
  <si>
    <t>110.2.1(一)</t>
  </si>
  <si>
    <t>110.2.2(二)</t>
  </si>
  <si>
    <t>110.2.3(三)</t>
  </si>
  <si>
    <t>110.2.5(五)</t>
  </si>
  <si>
    <t>110.2.6(六)</t>
  </si>
  <si>
    <t>110.2.7(日)</t>
  </si>
  <si>
    <t>110.2.8(一)</t>
  </si>
  <si>
    <t>110.2.9(二)</t>
  </si>
  <si>
    <t>110.2.10(三)</t>
  </si>
  <si>
    <t>110.2.11(四)</t>
  </si>
  <si>
    <t>110.2.13(六)</t>
  </si>
  <si>
    <t>110.2.14(日)</t>
  </si>
  <si>
    <t>110.2.15(一)</t>
  </si>
  <si>
    <t>110.2.16(二)</t>
  </si>
  <si>
    <t>110.2.17(三)</t>
  </si>
  <si>
    <t>110.2.19(五)</t>
  </si>
  <si>
    <t>110.2.20(六)</t>
  </si>
  <si>
    <t>110.2.21(日)</t>
  </si>
  <si>
    <t>110.2.22(一)</t>
  </si>
  <si>
    <t>110.2.25(四)</t>
  </si>
  <si>
    <t>110.2.26(五)</t>
  </si>
  <si>
    <t>110.2.27(六)</t>
  </si>
  <si>
    <t>110.2.28(日)</t>
  </si>
  <si>
    <t>110.3.1(一)</t>
  </si>
  <si>
    <t>110.3.2(二)</t>
  </si>
  <si>
    <t>110.3.4(四)</t>
  </si>
  <si>
    <t>110.3.5(五)</t>
  </si>
  <si>
    <t>110.3.6(六)</t>
  </si>
  <si>
    <t>110.3.8(一)</t>
  </si>
  <si>
    <t>110.3.9(二)</t>
  </si>
  <si>
    <t>110.3.10(三)</t>
  </si>
  <si>
    <t>110.3.11(四)</t>
  </si>
  <si>
    <t>110.3.12(五)</t>
  </si>
  <si>
    <t>110.3.13(六)</t>
  </si>
  <si>
    <t>110.3.14(日)</t>
  </si>
  <si>
    <t>110.3.15(一)</t>
  </si>
  <si>
    <t>110.3.16(二)</t>
  </si>
  <si>
    <t>110.3.17(三)</t>
  </si>
  <si>
    <t>110.3.18(四)</t>
  </si>
  <si>
    <t>110.3.19(五)</t>
  </si>
  <si>
    <t>110.3.20(六)</t>
  </si>
  <si>
    <t>110.3.21(日)</t>
  </si>
  <si>
    <t>110.3.22(一)</t>
  </si>
  <si>
    <t>110.3.23(二)</t>
  </si>
  <si>
    <t>110.3.25(四)</t>
  </si>
  <si>
    <t>110.3.26(五)</t>
  </si>
  <si>
    <t>110.3.27(六)</t>
  </si>
  <si>
    <t>110.3.28(日)</t>
  </si>
  <si>
    <t>110.3.29(一)</t>
  </si>
  <si>
    <t>110.3.30(二)</t>
  </si>
  <si>
    <t>110.3.31(三)</t>
  </si>
  <si>
    <t>總計</t>
  </si>
  <si>
    <t>消費金額</t>
  </si>
  <si>
    <t>編號</t>
    <phoneticPr fontId="4" type="noConversion"/>
  </si>
  <si>
    <t>OD1235</t>
  </si>
  <si>
    <t>OD1240</t>
  </si>
  <si>
    <t>OD1244</t>
  </si>
  <si>
    <t>OD1249</t>
  </si>
  <si>
    <t>OD1251</t>
  </si>
  <si>
    <t>OD1254</t>
  </si>
  <si>
    <t>OD1255</t>
  </si>
  <si>
    <t>OD1257</t>
  </si>
  <si>
    <t>OD1259</t>
  </si>
  <si>
    <t>OD1261</t>
  </si>
  <si>
    <t>OD1262</t>
  </si>
  <si>
    <t>OD1264</t>
  </si>
  <si>
    <t>OD1266</t>
  </si>
  <si>
    <t>OD1269</t>
  </si>
  <si>
    <t>OD1270</t>
  </si>
  <si>
    <t>OD1271</t>
  </si>
  <si>
    <t>OD1272</t>
  </si>
  <si>
    <t>OD1274</t>
  </si>
  <si>
    <t>OD1275</t>
  </si>
  <si>
    <t>OD1276</t>
  </si>
  <si>
    <t>OD1281</t>
  </si>
  <si>
    <t>OD1283</t>
  </si>
  <si>
    <t>OD1288</t>
  </si>
  <si>
    <t>OD1289</t>
  </si>
  <si>
    <t>OD1291</t>
  </si>
  <si>
    <t>OD1294</t>
  </si>
  <si>
    <t>OD1295</t>
  </si>
  <si>
    <t>OD1298</t>
  </si>
  <si>
    <t>OD1300</t>
  </si>
  <si>
    <t>OD1302</t>
  </si>
  <si>
    <t>OD1304</t>
  </si>
  <si>
    <t>OD1305</t>
  </si>
  <si>
    <t>OD1309</t>
  </si>
  <si>
    <t>OD1313</t>
  </si>
  <si>
    <t>OD1314</t>
  </si>
  <si>
    <t>OD1319</t>
  </si>
  <si>
    <t>OD1320</t>
  </si>
  <si>
    <t>OD1323</t>
  </si>
  <si>
    <t>OD1324</t>
  </si>
  <si>
    <t>OD1327</t>
  </si>
  <si>
    <t>OD1333</t>
  </si>
  <si>
    <t>OD1335</t>
  </si>
  <si>
    <t>OD1337</t>
  </si>
  <si>
    <t>OD1338</t>
  </si>
  <si>
    <t>OD1339</t>
  </si>
  <si>
    <t>OD1341</t>
  </si>
  <si>
    <t>OD1343</t>
  </si>
  <si>
    <t>OD1344</t>
  </si>
  <si>
    <t>OD1348</t>
  </si>
  <si>
    <t>OD1351</t>
  </si>
  <si>
    <t>OD1358</t>
  </si>
  <si>
    <t>OD1359</t>
  </si>
  <si>
    <t>OD1360</t>
  </si>
  <si>
    <t>OD1361</t>
  </si>
  <si>
    <t>OD1364</t>
  </si>
  <si>
    <t>OD1365</t>
  </si>
  <si>
    <t>OD1366</t>
  </si>
  <si>
    <t>OD1371</t>
  </si>
  <si>
    <t>OD1372</t>
  </si>
  <si>
    <t>OD1373</t>
  </si>
  <si>
    <t>OD1375</t>
  </si>
  <si>
    <t>OD1381</t>
  </si>
  <si>
    <t>OD1382</t>
  </si>
  <si>
    <t>OD1383</t>
  </si>
  <si>
    <t>OD1384</t>
  </si>
  <si>
    <t>OD1386</t>
  </si>
  <si>
    <t>OD1388</t>
  </si>
  <si>
    <t>OD1391</t>
  </si>
  <si>
    <t>OD1392</t>
  </si>
  <si>
    <t>OD1395</t>
  </si>
  <si>
    <t>OD1403</t>
  </si>
  <si>
    <t>OD1405</t>
  </si>
  <si>
    <t>OD1410</t>
  </si>
  <si>
    <t>OD1412</t>
  </si>
  <si>
    <t>OD1414</t>
  </si>
  <si>
    <t>OD1420</t>
  </si>
  <si>
    <t>OD1428</t>
  </si>
  <si>
    <t>OD1430</t>
  </si>
  <si>
    <t>OD1431</t>
  </si>
  <si>
    <t>OD1432</t>
  </si>
  <si>
    <t>OD1434</t>
  </si>
  <si>
    <t>OD1435</t>
  </si>
  <si>
    <t>OD1437</t>
  </si>
  <si>
    <t>OD1442</t>
  </si>
  <si>
    <t>OD1443</t>
  </si>
  <si>
    <t>OD1449</t>
  </si>
  <si>
    <t>OD1450</t>
  </si>
  <si>
    <t>OD1451</t>
  </si>
  <si>
    <t>OD1453</t>
  </si>
  <si>
    <t>OD1455</t>
  </si>
  <si>
    <t>OD1459</t>
  </si>
  <si>
    <t>OD1460</t>
  </si>
  <si>
    <t>OD1463</t>
  </si>
  <si>
    <t>OD1464</t>
  </si>
  <si>
    <t>OD1465</t>
  </si>
  <si>
    <t>OD1466</t>
  </si>
  <si>
    <t>OD1467</t>
  </si>
  <si>
    <t>OD1470</t>
  </si>
  <si>
    <t>OD1472</t>
  </si>
  <si>
    <t>OD1473</t>
  </si>
  <si>
    <t>OD1475</t>
  </si>
  <si>
    <t>OD1477</t>
  </si>
  <si>
    <t>OD1481</t>
  </si>
  <si>
    <t>OD1482</t>
  </si>
  <si>
    <t>OD1485</t>
  </si>
  <si>
    <t>OD1486</t>
  </si>
  <si>
    <t>OD1491</t>
  </si>
  <si>
    <t>OD1492</t>
  </si>
  <si>
    <t>OD1497</t>
  </si>
  <si>
    <t>OD1504</t>
  </si>
  <si>
    <t>OD1506</t>
  </si>
  <si>
    <t>OD1511</t>
  </si>
  <si>
    <t>OD1517</t>
  </si>
  <si>
    <t>OD1518</t>
  </si>
  <si>
    <t>OD1519</t>
  </si>
  <si>
    <t>OD1521</t>
  </si>
  <si>
    <t>OD1523</t>
  </si>
  <si>
    <t>OD1530</t>
  </si>
  <si>
    <t>OD1538</t>
  </si>
  <si>
    <t>OD1541</t>
  </si>
  <si>
    <t>OD1543</t>
  </si>
  <si>
    <t>OD1544</t>
  </si>
  <si>
    <t>OD1546</t>
  </si>
  <si>
    <t>OD1547</t>
  </si>
  <si>
    <t>OD1548</t>
  </si>
  <si>
    <t>OD1549</t>
  </si>
  <si>
    <t>OD1552</t>
  </si>
  <si>
    <t>OD1553</t>
  </si>
  <si>
    <t>OD1554</t>
  </si>
  <si>
    <t>OD1557</t>
  </si>
  <si>
    <t>OD1558</t>
  </si>
  <si>
    <t>OD1560</t>
  </si>
  <si>
    <t>OD1562</t>
  </si>
  <si>
    <t>OD1568</t>
  </si>
  <si>
    <t>OD1569</t>
  </si>
  <si>
    <t>OD1575</t>
  </si>
  <si>
    <t>OD1576</t>
  </si>
  <si>
    <t>OD1577</t>
  </si>
  <si>
    <t>OD1580</t>
  </si>
  <si>
    <t>OD1587</t>
  </si>
  <si>
    <t>OD1592</t>
  </si>
  <si>
    <t>OD1596</t>
  </si>
  <si>
    <t>OD1597</t>
  </si>
  <si>
    <t>OD1600</t>
  </si>
  <si>
    <t>OD1602</t>
  </si>
  <si>
    <t>OD1603</t>
  </si>
  <si>
    <t>OD1606</t>
  </si>
  <si>
    <t>OD1607</t>
  </si>
  <si>
    <t>OD1610</t>
  </si>
  <si>
    <t>OD1613</t>
  </si>
  <si>
    <t>OD1614</t>
  </si>
  <si>
    <t>OD1615</t>
  </si>
  <si>
    <t>OD1617</t>
  </si>
  <si>
    <t>OD1618</t>
  </si>
  <si>
    <t>OD1620</t>
  </si>
  <si>
    <t>OD1621</t>
  </si>
  <si>
    <t>OD1622</t>
  </si>
  <si>
    <t>OD1623</t>
  </si>
  <si>
    <t>OD1624</t>
  </si>
  <si>
    <t>OD1632</t>
  </si>
  <si>
    <t>OD1633</t>
  </si>
  <si>
    <t>OD1635</t>
  </si>
  <si>
    <t>OD1637</t>
  </si>
  <si>
    <t>OD1642</t>
  </si>
  <si>
    <t>OD1649</t>
  </si>
  <si>
    <t>OD1652</t>
  </si>
  <si>
    <t>OD1653</t>
  </si>
  <si>
    <t>OD1655</t>
  </si>
  <si>
    <t>OD1660</t>
  </si>
  <si>
    <t>OD1661</t>
  </si>
  <si>
    <t>OD1662</t>
  </si>
  <si>
    <t>OD1664</t>
  </si>
  <si>
    <t>OD1668</t>
  </si>
  <si>
    <t>OD1670</t>
  </si>
  <si>
    <t>OD1673</t>
  </si>
  <si>
    <t>OD1674</t>
  </si>
  <si>
    <t>OD1675</t>
  </si>
  <si>
    <t>OD1678</t>
  </si>
  <si>
    <t>OD1680</t>
  </si>
  <si>
    <t>OD1682</t>
  </si>
  <si>
    <t>OD1683</t>
  </si>
  <si>
    <t>OD1684</t>
  </si>
  <si>
    <t>OD1686</t>
  </si>
  <si>
    <t>OD1689</t>
  </si>
  <si>
    <t>OD1690</t>
  </si>
  <si>
    <t>OD1693</t>
  </si>
  <si>
    <t>OD1694</t>
  </si>
  <si>
    <t>OD1695</t>
  </si>
  <si>
    <t>OD1700</t>
  </si>
  <si>
    <t>OD1701</t>
  </si>
  <si>
    <t>OD1704</t>
  </si>
  <si>
    <t>OD1706</t>
  </si>
  <si>
    <t>交易筆數</t>
  </si>
  <si>
    <t>第一季消費金額級距分析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</si>
</sst>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&quot;$&quot;#,##0_);[Red]\(&quot;$&quot;#,##0\)"/>
    <numFmt numFmtId="178" formatCode="&quot;$&quot;#,##0;[Red]\(&quot;$&quot;#,##0\)"/>
    <numFmt numFmtId="179" formatCode="#,##0_ "/>
  </numFmts>
  <fonts count="40">
    <font>
      <sz val="12"/>
      <name val="新細明體"/>
      <family val="1"/>
      <charset val="136"/>
    </font>
    <font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Arial"/>
      <family val="2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sz val="12"/>
      <name val="新細明體"/>
      <family val="1"/>
      <charset val="136"/>
    </font>
    <font>
      <sz val="12"/>
      <name val="Arial"/>
      <family val="2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1"/>
      <color theme="0"/>
      <name val="微軟正黑體"/>
      <family val="2"/>
      <charset val="136"/>
    </font>
    <font>
      <b/>
      <sz val="11"/>
      <name val="微軟正黑體"/>
      <family val="2"/>
      <charset val="136"/>
    </font>
    <font>
      <sz val="16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</font>
    <font>
      <b/>
      <sz val="14"/>
      <color theme="3"/>
      <name val="微軟正黑體"/>
      <family val="2"/>
      <charset val="136"/>
    </font>
    <font>
      <b/>
      <sz val="12"/>
      <color theme="3"/>
      <name val="微軟正黑體"/>
      <family val="2"/>
      <charset val="136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C000"/>
        <bgColor theme="9"/>
      </patternFill>
    </fill>
    <fill>
      <patternFill patternType="solid">
        <fgColor rgb="FFFFE697"/>
        <bgColor theme="9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59999389629810485"/>
        <bgColor theme="5" tint="0.59999389629810485"/>
      </patternFill>
    </fill>
  </fills>
  <borders count="1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/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52">
    <xf numFmtId="0" fontId="0" fillId="0" borderId="0"/>
    <xf numFmtId="0" fontId="25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6" fillId="0" borderId="0"/>
    <xf numFmtId="0" fontId="22" fillId="0" borderId="0"/>
    <xf numFmtId="0" fontId="7" fillId="16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9" fontId="26" fillId="0" borderId="0" applyFont="0" applyFill="0" applyBorder="0" applyAlignment="0" applyProtection="0"/>
    <xf numFmtId="0" fontId="10" fillId="17" borderId="2" applyNumberFormat="0" applyAlignment="0" applyProtection="0">
      <alignment vertical="center"/>
    </xf>
    <xf numFmtId="176" fontId="22" fillId="0" borderId="0" applyFont="0" applyFill="0" applyBorder="0" applyAlignment="0" applyProtection="0"/>
    <xf numFmtId="0" fontId="11" fillId="0" borderId="3" applyNumberFormat="0" applyFill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" applyNumberFormat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9" fillId="23" borderId="9" applyNumberForma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5">
    <xf numFmtId="0" fontId="0" fillId="0" borderId="0" xfId="0"/>
    <xf numFmtId="0" fontId="24" fillId="0" borderId="0" xfId="0" applyFont="1" applyAlignment="1">
      <alignment vertical="center"/>
    </xf>
    <xf numFmtId="0" fontId="24" fillId="0" borderId="0" xfId="21" applyFont="1" applyAlignment="1">
      <alignment horizontal="centerContinuous"/>
    </xf>
    <xf numFmtId="0" fontId="24" fillId="0" borderId="0" xfId="21" applyFont="1"/>
    <xf numFmtId="0" fontId="24" fillId="0" borderId="0" xfId="21" applyFont="1" applyAlignment="1">
      <alignment horizontal="center"/>
    </xf>
    <xf numFmtId="177" fontId="24" fillId="0" borderId="0" xfId="27" applyNumberFormat="1" applyFont="1"/>
    <xf numFmtId="177" fontId="24" fillId="0" borderId="10" xfId="27" applyNumberFormat="1" applyFont="1" applyBorder="1"/>
    <xf numFmtId="0" fontId="27" fillId="24" borderId="11" xfId="0" applyFont="1" applyFill="1" applyBorder="1"/>
    <xf numFmtId="0" fontId="27" fillId="24" borderId="11" xfId="0" applyFont="1" applyFill="1" applyBorder="1" applyAlignment="1">
      <alignment horizontal="right"/>
    </xf>
    <xf numFmtId="0" fontId="24" fillId="0" borderId="0" xfId="0" quotePrefix="1" applyFont="1" applyAlignment="1">
      <alignment vertical="center"/>
    </xf>
    <xf numFmtId="0" fontId="28" fillId="25" borderId="11" xfId="0" applyFont="1" applyFill="1" applyBorder="1"/>
    <xf numFmtId="178" fontId="28" fillId="25" borderId="11" xfId="0" applyNumberFormat="1" applyFont="1" applyFill="1" applyBorder="1"/>
    <xf numFmtId="0" fontId="28" fillId="0" borderId="11" xfId="0" applyFont="1" applyBorder="1"/>
    <xf numFmtId="178" fontId="28" fillId="0" borderId="11" xfId="0" applyNumberFormat="1" applyFont="1" applyBorder="1"/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31" fillId="26" borderId="0" xfId="0" applyFont="1" applyFill="1" applyBorder="1" applyAlignment="1">
      <alignment vertical="center"/>
    </xf>
    <xf numFmtId="0" fontId="31" fillId="26" borderId="13" xfId="0" applyFont="1" applyFill="1" applyBorder="1" applyAlignment="1">
      <alignment horizontal="right" vertical="center"/>
    </xf>
    <xf numFmtId="0" fontId="2" fillId="28" borderId="14" xfId="0" applyFont="1" applyFill="1" applyBorder="1" applyAlignment="1">
      <alignment vertical="center"/>
    </xf>
    <xf numFmtId="0" fontId="2" fillId="28" borderId="15" xfId="0" applyFont="1" applyFill="1" applyBorder="1" applyAlignment="1">
      <alignment vertical="center"/>
    </xf>
    <xf numFmtId="0" fontId="2" fillId="27" borderId="16" xfId="0" applyFont="1" applyFill="1" applyBorder="1" applyAlignment="1">
      <alignment vertical="center"/>
    </xf>
    <xf numFmtId="0" fontId="2" fillId="27" borderId="12" xfId="0" applyFont="1" applyFill="1" applyBorder="1" applyAlignment="1">
      <alignment vertical="center"/>
    </xf>
    <xf numFmtId="0" fontId="2" fillId="28" borderId="16" xfId="0" applyFont="1" applyFill="1" applyBorder="1" applyAlignment="1">
      <alignment vertical="center"/>
    </xf>
    <xf numFmtId="0" fontId="2" fillId="28" borderId="12" xfId="0" applyFont="1" applyFill="1" applyBorder="1" applyAlignment="1">
      <alignment vertical="center"/>
    </xf>
    <xf numFmtId="0" fontId="29" fillId="0" borderId="0" xfId="0" applyFont="1"/>
    <xf numFmtId="0" fontId="32" fillId="0" borderId="0" xfId="47" applyFont="1" applyAlignment="1">
      <alignment horizontal="center" vertical="center"/>
    </xf>
    <xf numFmtId="179" fontId="29" fillId="0" borderId="0" xfId="0" applyNumberFormat="1" applyFont="1" applyAlignment="1">
      <alignment vertical="center"/>
    </xf>
    <xf numFmtId="179" fontId="24" fillId="0" borderId="0" xfId="0" applyNumberFormat="1" applyFont="1" applyAlignment="1">
      <alignment vertical="center"/>
    </xf>
    <xf numFmtId="0" fontId="33" fillId="0" borderId="0" xfId="21" applyFont="1" applyAlignment="1">
      <alignment horizontal="centerContinuous"/>
    </xf>
    <xf numFmtId="0" fontId="1" fillId="0" borderId="0" xfId="51">
      <alignment vertical="center"/>
    </xf>
    <xf numFmtId="0" fontId="34" fillId="0" borderId="0" xfId="51" applyFont="1">
      <alignment vertical="center"/>
    </xf>
    <xf numFmtId="0" fontId="36" fillId="0" borderId="0" xfId="51" applyFont="1">
      <alignment vertical="center"/>
    </xf>
    <xf numFmtId="0" fontId="29" fillId="0" borderId="0" xfId="47" applyFont="1" applyAlignment="1">
      <alignment horizontal="left" vertical="center"/>
    </xf>
    <xf numFmtId="0" fontId="24" fillId="0" borderId="0" xfId="0" applyFont="1"/>
    <xf numFmtId="0" fontId="37" fillId="0" borderId="0" xfId="0" pivotButton="1" applyFont="1"/>
    <xf numFmtId="0" fontId="37" fillId="0" borderId="0" xfId="0" applyFont="1"/>
    <xf numFmtId="0" fontId="29" fillId="0" borderId="0" xfId="0" applyNumberFormat="1" applyFont="1"/>
    <xf numFmtId="0" fontId="29" fillId="0" borderId="0" xfId="0" applyFont="1" applyAlignment="1">
      <alignment horizontal="right"/>
    </xf>
    <xf numFmtId="0" fontId="38" fillId="0" borderId="0" xfId="51" applyFont="1">
      <alignment vertical="center"/>
    </xf>
    <xf numFmtId="0" fontId="39" fillId="0" borderId="0" xfId="0" applyFont="1"/>
    <xf numFmtId="0" fontId="30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32" fillId="0" borderId="0" xfId="0" applyFont="1"/>
    <xf numFmtId="0" fontId="32" fillId="0" borderId="0" xfId="0" applyNumberFormat="1" applyFont="1"/>
  </cellXfs>
  <cellStyles count="52">
    <cellStyle name="0,0_x000d__x000a_NA_x000d__x000a_" xfId="1" xr:uid="{00000000-0005-0000-0000-000000000000}"/>
    <cellStyle name="0,0_x000d__x000a_NA_x000d__x000a_ 2" xfId="47" xr:uid="{00000000-0005-0000-0000-000001000000}"/>
    <cellStyle name="20% - 輔色1" xfId="2" builtinId="30" customBuiltin="1"/>
    <cellStyle name="20% - 輔色2" xfId="3" builtinId="34" customBuiltin="1"/>
    <cellStyle name="20% - 輔色3" xfId="4" builtinId="38" customBuiltin="1"/>
    <cellStyle name="20% - 輔色4" xfId="5" builtinId="42" customBuiltin="1"/>
    <cellStyle name="20% - 輔色5" xfId="6" builtinId="46" customBuiltin="1"/>
    <cellStyle name="20% - 輔色6" xfId="7" builtinId="50" customBuiltin="1"/>
    <cellStyle name="40% - 輔色1" xfId="8" builtinId="31" customBuiltin="1"/>
    <cellStyle name="40% - 輔色2" xfId="9" builtinId="35" customBuiltin="1"/>
    <cellStyle name="40% - 輔色3" xfId="10" builtinId="39" customBuiltin="1"/>
    <cellStyle name="40% - 輔色4" xfId="11" builtinId="43" customBuiltin="1"/>
    <cellStyle name="40% - 輔色5" xfId="12" builtinId="47" customBuiltin="1"/>
    <cellStyle name="40% - 輔色6" xfId="13" builtinId="51" customBuiltin="1"/>
    <cellStyle name="60% - 輔色1" xfId="14" builtinId="32" customBuiltin="1"/>
    <cellStyle name="60% - 輔色2" xfId="15" builtinId="36" customBuiltin="1"/>
    <cellStyle name="60% - 輔色3" xfId="16" builtinId="40" customBuiltin="1"/>
    <cellStyle name="60% - 輔色4" xfId="17" builtinId="44" customBuiltin="1"/>
    <cellStyle name="60% - 輔色5" xfId="18" builtinId="48" customBuiltin="1"/>
    <cellStyle name="60% - 輔色6" xfId="19" builtinId="52" customBuiltin="1"/>
    <cellStyle name="一般" xfId="0" builtinId="0"/>
    <cellStyle name="一般 2" xfId="20" xr:uid="{00000000-0005-0000-0000-000015000000}"/>
    <cellStyle name="一般 3" xfId="51" xr:uid="{69046FF1-4DB5-4B0F-8C99-1E2B2ACEAA1C}"/>
    <cellStyle name="一般_2-1五年盈收預測分析藍本(Ok)" xfId="21" xr:uid="{00000000-0005-0000-0000-000016000000}"/>
    <cellStyle name="千分位 2" xfId="48" xr:uid="{00000000-0005-0000-0000-000018000000}"/>
    <cellStyle name="中等" xfId="22" builtinId="28" customBuiltin="1"/>
    <cellStyle name="合計" xfId="23" builtinId="25" customBuiltin="1"/>
    <cellStyle name="好" xfId="24" builtinId="26" customBuiltin="1"/>
    <cellStyle name="百分比 2" xfId="25" xr:uid="{00000000-0005-0000-0000-00001D000000}"/>
    <cellStyle name="百分比 3" xfId="49" xr:uid="{00000000-0005-0000-0000-00001E000000}"/>
    <cellStyle name="百分比 3 2" xfId="50" xr:uid="{94AF5B4F-DF2F-4E4B-85CC-852B859F61F7}"/>
    <cellStyle name="計算方式" xfId="26" builtinId="22" customBuiltin="1"/>
    <cellStyle name="貨幣_2-1五年盈收預測分析藍本(Ok)" xfId="27" xr:uid="{00000000-0005-0000-0000-000020000000}"/>
    <cellStyle name="連結的儲存格" xfId="28" builtinId="24" customBuiltin="1"/>
    <cellStyle name="備註" xfId="29" builtinId="10" customBuiltin="1"/>
    <cellStyle name="說明文字" xfId="30" builtinId="53" customBuiltin="1"/>
    <cellStyle name="輔色1" xfId="31" builtinId="29" customBuiltin="1"/>
    <cellStyle name="輔色2" xfId="32" builtinId="33" customBuiltin="1"/>
    <cellStyle name="輔色3" xfId="33" builtinId="37" customBuiltin="1"/>
    <cellStyle name="輔色4" xfId="34" builtinId="41" customBuiltin="1"/>
    <cellStyle name="輔色5" xfId="35" builtinId="45" customBuiltin="1"/>
    <cellStyle name="輔色6" xfId="36" builtinId="49" customBuiltin="1"/>
    <cellStyle name="標題" xfId="37" builtinId="15" customBuiltin="1"/>
    <cellStyle name="標題 1" xfId="38" builtinId="16" customBuiltin="1"/>
    <cellStyle name="標題 2" xfId="39" builtinId="17" customBuiltin="1"/>
    <cellStyle name="標題 3" xfId="40" builtinId="18" customBuiltin="1"/>
    <cellStyle name="標題 4" xfId="41" builtinId="19" customBuiltin="1"/>
    <cellStyle name="輸入" xfId="42" builtinId="20" customBuiltin="1"/>
    <cellStyle name="輸出" xfId="43" builtinId="21" customBuiltin="1"/>
    <cellStyle name="檢查儲存格" xfId="44" builtinId="23" customBuiltin="1"/>
    <cellStyle name="壞" xfId="45" builtinId="27" customBuiltin="1"/>
    <cellStyle name="警告文字" xfId="46" builtinId="11" customBuiltin="1"/>
  </cellStyles>
  <dxfs count="26">
    <dxf>
      <font>
        <b/>
        <charset val="136"/>
      </font>
    </dxf>
    <dxf>
      <font>
        <b/>
        <charset val="13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軟正黑體"/>
        <family val="2"/>
        <charset val="136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</dxf>
    <dxf>
      <alignment horizontal="right"/>
    </dxf>
    <dxf>
      <font>
        <name val="微軟正黑體"/>
        <family val="2"/>
      </font>
    </dxf>
    <dxf>
      <font>
        <name val="微軟正黑體"/>
        <family val="2"/>
      </font>
    </dxf>
    <dxf>
      <font>
        <name val="微軟正黑體"/>
        <family val="2"/>
      </font>
    </dxf>
    <dxf>
      <font>
        <name val="微軟正黑體"/>
        <family val="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微軟正黑體"/>
        <family val="2"/>
        <charset val="136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CF2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王仲麒" refreshedDate="44293.415261689814" createdVersion="6" refreshedVersion="6" minRefreshableVersion="3" recordCount="192" xr:uid="{9ED1EC40-4071-440D-BAE2-CF9E5CB590B3}">
  <cacheSource type="worksheet">
    <worksheetSource name="銷售明細表"/>
  </cacheSource>
  <cacheFields count="6">
    <cacheField name="編號" numFmtId="0">
      <sharedItems/>
    </cacheField>
    <cacheField name="日期" numFmtId="0">
      <sharedItems/>
    </cacheField>
    <cacheField name="產品類別" numFmtId="0">
      <sharedItems/>
    </cacheField>
    <cacheField name="單價" numFmtId="0">
      <sharedItems containsSemiMixedTypes="0" containsString="0" containsNumber="1" containsInteger="1" minValue="35" maxValue="125"/>
    </cacheField>
    <cacheField name="單位" numFmtId="0">
      <sharedItems containsSemiMixedTypes="0" containsString="0" containsNumber="1" containsInteger="1" minValue="10" maxValue="95"/>
    </cacheField>
    <cacheField name="消費金額" numFmtId="0">
      <sharedItems containsSemiMixedTypes="0" containsString="0" containsNumber="1" containsInteger="1" minValue="350" maxValue="24375" count="107">
        <n v="3000"/>
        <n v="1050"/>
        <n v="1700"/>
        <n v="5625"/>
        <n v="1750"/>
        <n v="4200"/>
        <n v="2100"/>
        <n v="8075"/>
        <n v="700"/>
        <n v="1200"/>
        <n v="1250"/>
        <n v="1575"/>
        <n v="900"/>
        <n v="5950"/>
        <n v="350"/>
        <n v="5525"/>
        <n v="5000"/>
        <n v="3150"/>
        <n v="600"/>
        <n v="1275"/>
        <n v="10625"/>
        <n v="3325"/>
        <n v="2400"/>
        <n v="3900"/>
        <n v="850"/>
        <n v="7650"/>
        <n v="4675"/>
        <n v="4250"/>
        <n v="4725"/>
        <n v="7350"/>
        <n v="5700"/>
        <n v="1400"/>
        <n v="2975"/>
        <n v="525"/>
        <n v="2450"/>
        <n v="2275"/>
        <n v="3825"/>
        <n v="8125"/>
        <n v="2500"/>
        <n v="6250"/>
        <n v="8750"/>
        <n v="5250"/>
        <n v="8925"/>
        <n v="5100"/>
        <n v="2700"/>
        <n v="5400"/>
        <n v="13600" u="1"/>
        <n v="11475" u="1"/>
        <n v="9350" u="1"/>
        <n v="16800" u="1"/>
        <n v="9000" u="1"/>
        <n v="4800" u="1"/>
        <n v="22500" u="1"/>
        <n v="2550" u="1"/>
        <n v="9375" u="1"/>
        <n v="13650" u="1"/>
        <n v="16150" u="1"/>
        <n v="8700" u="1"/>
        <n v="14025" u="1"/>
        <n v="24375" u="1"/>
        <n v="11900" u="1"/>
        <n v="16575" u="1"/>
        <n v="11550" u="1"/>
        <n v="1225" u="1"/>
        <n v="7500" u="1"/>
        <n v="10500" u="1"/>
        <n v="17325" u="1"/>
        <n v="9450" u="1"/>
        <n v="17000" u="1"/>
        <n v="8400" u="1"/>
        <n v="4500" u="1"/>
        <n v="7875" u="1"/>
        <n v="11250" u="1"/>
        <n v="14450" u="1"/>
        <n v="6825" u="1"/>
        <n v="6650" u="1"/>
        <n v="6475" u="1"/>
        <n v="6300" u="1"/>
        <n v="17850" u="1"/>
        <n v="20000" u="1"/>
        <n v="5600" u="1"/>
        <n v="7200" u="1"/>
        <n v="15225" u="1"/>
        <n v="14875" u="1"/>
        <n v="5075" u="1"/>
        <n v="4900" u="1"/>
        <n v="8500" u="1"/>
        <n v="3400" u="1"/>
        <n v="4550" u="1"/>
        <n v="8100" u="1"/>
        <n v="11700" u="1"/>
        <n v="4375" u="1"/>
        <n v="21875" u="1"/>
        <n v="4025" u="1"/>
        <n v="12075" u="1"/>
        <n v="3850" u="1"/>
        <n v="9600" u="1"/>
        <n v="3500" u="1"/>
        <n v="18750" u="1"/>
        <n v="9975" u="1"/>
        <n v="11400" u="1"/>
        <n v="2800" u="1"/>
        <n v="9300" u="1"/>
        <n v="12500" u="1"/>
        <n v="2625" u="1"/>
        <n v="6375" u="1"/>
        <n v="78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s v="OD1235"/>
    <s v="110.1.1(五)"/>
    <s v="電源"/>
    <n v="60"/>
    <n v="50"/>
    <x v="0"/>
  </r>
  <r>
    <s v="OD1240"/>
    <s v="110.1.2(六)"/>
    <s v="繼電器"/>
    <n v="105"/>
    <n v="10"/>
    <x v="1"/>
  </r>
  <r>
    <s v="OD1244"/>
    <s v="110.1.2(六)"/>
    <s v="開關"/>
    <n v="85"/>
    <n v="20"/>
    <x v="2"/>
  </r>
  <r>
    <s v="OD1249"/>
    <s v="110.1.2(六)"/>
    <s v="調整器"/>
    <n v="125"/>
    <n v="45"/>
    <x v="3"/>
  </r>
  <r>
    <s v="OD1251"/>
    <s v="110.1.3(日)"/>
    <s v="電池"/>
    <n v="35"/>
    <n v="50"/>
    <x v="4"/>
  </r>
  <r>
    <s v="OD1254"/>
    <s v="110.1.3(日)"/>
    <s v="電源"/>
    <n v="60"/>
    <n v="70"/>
    <x v="5"/>
  </r>
  <r>
    <s v="OD1255"/>
    <s v="110.1.3(日)"/>
    <s v="繼電器"/>
    <n v="105"/>
    <n v="20"/>
    <x v="6"/>
  </r>
  <r>
    <s v="OD1257"/>
    <s v="110.1.3(日)"/>
    <s v="開關"/>
    <n v="85"/>
    <n v="95"/>
    <x v="7"/>
  </r>
  <r>
    <s v="OD1259"/>
    <s v="110.1.6(三)"/>
    <s v="調整器"/>
    <n v="125"/>
    <n v="45"/>
    <x v="3"/>
  </r>
  <r>
    <s v="OD1261"/>
    <s v="110.1.6(三)"/>
    <s v="電池"/>
    <n v="35"/>
    <n v="20"/>
    <x v="8"/>
  </r>
  <r>
    <s v="OD1262"/>
    <s v="110.1.6(三)"/>
    <s v="電源"/>
    <n v="60"/>
    <n v="20"/>
    <x v="9"/>
  </r>
  <r>
    <s v="OD1264"/>
    <s v="110.1.9(六)"/>
    <s v="繼電器"/>
    <n v="105"/>
    <n v="10"/>
    <x v="1"/>
  </r>
  <r>
    <s v="OD1266"/>
    <s v="110.1.9(六)"/>
    <s v="開關"/>
    <n v="85"/>
    <n v="20"/>
    <x v="2"/>
  </r>
  <r>
    <s v="OD1269"/>
    <s v="110.1.9(六)"/>
    <s v="調整器"/>
    <n v="125"/>
    <n v="10"/>
    <x v="10"/>
  </r>
  <r>
    <s v="OD1270"/>
    <s v="110.1.9(六)"/>
    <s v="電池"/>
    <n v="35"/>
    <n v="45"/>
    <x v="11"/>
  </r>
  <r>
    <s v="OD1271"/>
    <s v="110.1.10(日)"/>
    <s v="電源"/>
    <n v="60"/>
    <n v="15"/>
    <x v="12"/>
  </r>
  <r>
    <s v="OD1272"/>
    <s v="110.1.11(一)"/>
    <s v="繼電器"/>
    <n v="105"/>
    <n v="20"/>
    <x v="6"/>
  </r>
  <r>
    <s v="OD1274"/>
    <s v="110.1.11(一)"/>
    <s v="開關"/>
    <n v="85"/>
    <n v="70"/>
    <x v="13"/>
  </r>
  <r>
    <s v="OD1275"/>
    <s v="110.1.11(一)"/>
    <s v="調整器"/>
    <n v="125"/>
    <n v="10"/>
    <x v="10"/>
  </r>
  <r>
    <s v="OD1276"/>
    <s v="110.1.12(二)"/>
    <s v="電池"/>
    <n v="35"/>
    <n v="10"/>
    <x v="14"/>
  </r>
  <r>
    <s v="OD1281"/>
    <s v="110.1.12(二)"/>
    <s v="電源"/>
    <n v="60"/>
    <n v="20"/>
    <x v="9"/>
  </r>
  <r>
    <s v="OD1283"/>
    <s v="110.1.12(二)"/>
    <s v="繼電器"/>
    <n v="105"/>
    <n v="40"/>
    <x v="5"/>
  </r>
  <r>
    <s v="OD1288"/>
    <s v="110.1.12(二)"/>
    <s v="開關"/>
    <n v="85"/>
    <n v="65"/>
    <x v="15"/>
  </r>
  <r>
    <s v="OD1289"/>
    <s v="110.1.13(三)"/>
    <s v="調整器"/>
    <n v="125"/>
    <n v="40"/>
    <x v="16"/>
  </r>
  <r>
    <s v="OD1291"/>
    <s v="110.1.13(三)"/>
    <s v="電池"/>
    <n v="35"/>
    <n v="90"/>
    <x v="17"/>
  </r>
  <r>
    <s v="OD1294"/>
    <s v="110.1.14(四)"/>
    <s v="電源"/>
    <n v="60"/>
    <n v="10"/>
    <x v="18"/>
  </r>
  <r>
    <s v="OD1295"/>
    <s v="110.1.14(四)"/>
    <s v="繼電器"/>
    <n v="105"/>
    <n v="40"/>
    <x v="5"/>
  </r>
  <r>
    <s v="OD1298"/>
    <s v="110.1.14(四)"/>
    <s v="開關"/>
    <n v="85"/>
    <n v="15"/>
    <x v="19"/>
  </r>
  <r>
    <s v="OD1300"/>
    <s v="110.1.14(四)"/>
    <s v="調整器"/>
    <n v="125"/>
    <n v="85"/>
    <x v="20"/>
  </r>
  <r>
    <s v="OD1302"/>
    <s v="110.1.14(四)"/>
    <s v="電池"/>
    <n v="35"/>
    <n v="95"/>
    <x v="21"/>
  </r>
  <r>
    <s v="OD1304"/>
    <s v="110.1.15(五)"/>
    <s v="電源"/>
    <n v="60"/>
    <n v="15"/>
    <x v="12"/>
  </r>
  <r>
    <s v="OD1305"/>
    <s v="110.1.16(六)"/>
    <s v="電源"/>
    <n v="60"/>
    <n v="10"/>
    <x v="18"/>
  </r>
  <r>
    <s v="OD1309"/>
    <s v="110.1.16(六)"/>
    <s v="電源"/>
    <n v="60"/>
    <n v="40"/>
    <x v="22"/>
  </r>
  <r>
    <s v="OD1313"/>
    <s v="110.1.17(日)"/>
    <s v="電源"/>
    <n v="60"/>
    <n v="50"/>
    <x v="0"/>
  </r>
  <r>
    <s v="OD1314"/>
    <s v="110.1.17(日)"/>
    <s v="電源"/>
    <n v="60"/>
    <n v="70"/>
    <x v="5"/>
  </r>
  <r>
    <s v="OD1319"/>
    <s v="110.1.17(日)"/>
    <s v="電源"/>
    <n v="60"/>
    <n v="20"/>
    <x v="9"/>
  </r>
  <r>
    <s v="OD1320"/>
    <s v="110.1.17(日)"/>
    <s v="電源"/>
    <n v="60"/>
    <n v="10"/>
    <x v="18"/>
  </r>
  <r>
    <s v="OD1323"/>
    <s v="110.1.17(日)"/>
    <s v="電源"/>
    <n v="60"/>
    <n v="65"/>
    <x v="23"/>
  </r>
  <r>
    <s v="OD1324"/>
    <s v="110.1.19(二)"/>
    <s v="開關"/>
    <n v="85"/>
    <n v="70"/>
    <x v="13"/>
  </r>
  <r>
    <s v="OD1327"/>
    <s v="110.1.19(二)"/>
    <s v="開關"/>
    <n v="85"/>
    <n v="10"/>
    <x v="24"/>
  </r>
  <r>
    <s v="OD1333"/>
    <s v="110.1.20(三)"/>
    <s v="開關"/>
    <n v="85"/>
    <n v="90"/>
    <x v="25"/>
  </r>
  <r>
    <s v="OD1335"/>
    <s v="110.1.20(三)"/>
    <s v="開關"/>
    <n v="85"/>
    <n v="10"/>
    <x v="24"/>
  </r>
  <r>
    <s v="OD1337"/>
    <s v="110.1.20(三)"/>
    <s v="開關"/>
    <n v="85"/>
    <n v="20"/>
    <x v="2"/>
  </r>
  <r>
    <s v="OD1338"/>
    <s v="110.1.20(三)"/>
    <s v="開關"/>
    <n v="85"/>
    <n v="90"/>
    <x v="25"/>
  </r>
  <r>
    <s v="OD1339"/>
    <s v="110.1.20(三)"/>
    <s v="開關"/>
    <n v="85"/>
    <n v="55"/>
    <x v="26"/>
  </r>
  <r>
    <s v="OD1341"/>
    <s v="110.1.21(四)"/>
    <s v="開關"/>
    <n v="85"/>
    <n v="10"/>
    <x v="24"/>
  </r>
  <r>
    <s v="OD1343"/>
    <s v="110.1.22(五)"/>
    <s v="開關"/>
    <n v="85"/>
    <n v="10"/>
    <x v="24"/>
  </r>
  <r>
    <s v="OD1344"/>
    <s v="110.1.22(五)"/>
    <s v="開關"/>
    <n v="85"/>
    <n v="50"/>
    <x v="27"/>
  </r>
  <r>
    <s v="OD1348"/>
    <s v="110.1.22(五)"/>
    <s v="開關"/>
    <n v="85"/>
    <n v="70"/>
    <x v="13"/>
  </r>
  <r>
    <s v="OD1351"/>
    <s v="110.1.22(五)"/>
    <s v="開關"/>
    <n v="85"/>
    <n v="15"/>
    <x v="19"/>
  </r>
  <r>
    <s v="OD1358"/>
    <s v="110.1.22(五)"/>
    <s v="開關"/>
    <n v="85"/>
    <n v="55"/>
    <x v="26"/>
  </r>
  <r>
    <s v="OD1359"/>
    <s v="110.1.23(六)"/>
    <s v="開關"/>
    <n v="85"/>
    <n v="65"/>
    <x v="15"/>
  </r>
  <r>
    <s v="OD1360"/>
    <s v="110.1.23(六)"/>
    <s v="開關"/>
    <n v="85"/>
    <n v="70"/>
    <x v="13"/>
  </r>
  <r>
    <s v="OD1361"/>
    <s v="110.1.23(六)"/>
    <s v="開關"/>
    <n v="85"/>
    <n v="90"/>
    <x v="25"/>
  </r>
  <r>
    <s v="OD1364"/>
    <s v="110.1.24(日)"/>
    <s v="開關"/>
    <n v="85"/>
    <n v="15"/>
    <x v="19"/>
  </r>
  <r>
    <s v="OD1365"/>
    <s v="110.1.25(一)"/>
    <s v="開關"/>
    <n v="85"/>
    <n v="70"/>
    <x v="13"/>
  </r>
  <r>
    <s v="OD1366"/>
    <s v="110.1.26(二)"/>
    <s v="開關"/>
    <n v="85"/>
    <n v="50"/>
    <x v="27"/>
  </r>
  <r>
    <s v="OD1371"/>
    <s v="110.1.27(三)"/>
    <s v="開關"/>
    <n v="85"/>
    <n v="10"/>
    <x v="24"/>
  </r>
  <r>
    <s v="OD1372"/>
    <s v="110.1.28(四)"/>
    <s v="開關"/>
    <n v="85"/>
    <n v="55"/>
    <x v="26"/>
  </r>
  <r>
    <s v="OD1373"/>
    <s v="110.1.28(四)"/>
    <s v="開關"/>
    <n v="85"/>
    <n v="70"/>
    <x v="13"/>
  </r>
  <r>
    <s v="OD1375"/>
    <s v="110.1.29(五)"/>
    <s v="開關"/>
    <n v="85"/>
    <n v="20"/>
    <x v="2"/>
  </r>
  <r>
    <s v="OD1381"/>
    <s v="110.1.29(五)"/>
    <s v="開關"/>
    <n v="85"/>
    <n v="10"/>
    <x v="24"/>
  </r>
  <r>
    <s v="OD1382"/>
    <s v="110.1.30(六)"/>
    <s v="開關"/>
    <n v="85"/>
    <n v="20"/>
    <x v="2"/>
  </r>
  <r>
    <s v="OD1383"/>
    <s v="110.1.30(六)"/>
    <s v="繼電器"/>
    <n v="105"/>
    <n v="10"/>
    <x v="1"/>
  </r>
  <r>
    <s v="OD1384"/>
    <s v="110.1.31(日)"/>
    <s v="繼電器"/>
    <n v="105"/>
    <n v="10"/>
    <x v="1"/>
  </r>
  <r>
    <s v="OD1386"/>
    <s v="110.1.31(日)"/>
    <s v="繼電器"/>
    <n v="105"/>
    <n v="45"/>
    <x v="28"/>
  </r>
  <r>
    <s v="OD1388"/>
    <s v="110.1.31(日)"/>
    <s v="繼電器"/>
    <n v="105"/>
    <n v="40"/>
    <x v="5"/>
  </r>
  <r>
    <s v="OD1391"/>
    <s v="110.2.1(一)"/>
    <s v="繼電器"/>
    <n v="105"/>
    <n v="10"/>
    <x v="1"/>
  </r>
  <r>
    <s v="OD1392"/>
    <s v="110.2.1(一)"/>
    <s v="繼電器"/>
    <n v="105"/>
    <n v="70"/>
    <x v="29"/>
  </r>
  <r>
    <s v="OD1395"/>
    <s v="110.2.2(二)"/>
    <s v="繼電器"/>
    <n v="105"/>
    <n v="20"/>
    <x v="6"/>
  </r>
  <r>
    <s v="OD1403"/>
    <s v="110.2.2(二)"/>
    <s v="繼電器"/>
    <n v="105"/>
    <n v="20"/>
    <x v="6"/>
  </r>
  <r>
    <s v="OD1405"/>
    <s v="110.2.2(二)"/>
    <s v="繼電器"/>
    <n v="105"/>
    <n v="10"/>
    <x v="1"/>
  </r>
  <r>
    <s v="OD1410"/>
    <s v="110.2.3(三)"/>
    <s v="繼電器"/>
    <n v="105"/>
    <n v="10"/>
    <x v="1"/>
  </r>
  <r>
    <s v="OD1412"/>
    <s v="110.2.5(五)"/>
    <s v="電源"/>
    <n v="60"/>
    <n v="95"/>
    <x v="30"/>
  </r>
  <r>
    <s v="OD1414"/>
    <s v="110.2.5(五)"/>
    <s v="電源"/>
    <n v="60"/>
    <n v="95"/>
    <x v="30"/>
  </r>
  <r>
    <s v="OD1420"/>
    <s v="110.2.6(六)"/>
    <s v="電源"/>
    <n v="60"/>
    <n v="20"/>
    <x v="9"/>
  </r>
  <r>
    <s v="OD1428"/>
    <s v="110.2.6(六)"/>
    <s v="電池"/>
    <n v="35"/>
    <n v="20"/>
    <x v="8"/>
  </r>
  <r>
    <s v="OD1430"/>
    <s v="110.2.6(六)"/>
    <s v="電池"/>
    <n v="35"/>
    <n v="20"/>
    <x v="8"/>
  </r>
  <r>
    <s v="OD1431"/>
    <s v="110.2.6(六)"/>
    <s v="電池"/>
    <n v="35"/>
    <n v="10"/>
    <x v="14"/>
  </r>
  <r>
    <s v="OD1432"/>
    <s v="110.2.6(六)"/>
    <s v="電池"/>
    <n v="35"/>
    <n v="50"/>
    <x v="4"/>
  </r>
  <r>
    <s v="OD1434"/>
    <s v="110.2.6(六)"/>
    <s v="電池"/>
    <n v="35"/>
    <n v="40"/>
    <x v="31"/>
  </r>
  <r>
    <s v="OD1435"/>
    <s v="110.2.6(六)"/>
    <s v="電池"/>
    <n v="35"/>
    <n v="85"/>
    <x v="32"/>
  </r>
  <r>
    <s v="OD1437"/>
    <s v="110.2.7(日)"/>
    <s v="電池"/>
    <n v="35"/>
    <n v="20"/>
    <x v="8"/>
  </r>
  <r>
    <s v="OD1442"/>
    <s v="110.2.7(日)"/>
    <s v="電池"/>
    <n v="35"/>
    <n v="10"/>
    <x v="14"/>
  </r>
  <r>
    <s v="OD1443"/>
    <s v="110.2.7(日)"/>
    <s v="電池"/>
    <n v="35"/>
    <n v="15"/>
    <x v="33"/>
  </r>
  <r>
    <s v="OD1449"/>
    <s v="110.2.8(一)"/>
    <s v="電池"/>
    <n v="35"/>
    <n v="20"/>
    <x v="8"/>
  </r>
  <r>
    <s v="OD1450"/>
    <s v="110.2.9(二)"/>
    <s v="電池"/>
    <n v="35"/>
    <n v="20"/>
    <x v="8"/>
  </r>
  <r>
    <s v="OD1451"/>
    <s v="110.2.9(二)"/>
    <s v="電池"/>
    <n v="35"/>
    <n v="40"/>
    <x v="31"/>
  </r>
  <r>
    <s v="OD1453"/>
    <s v="110.2.9(二)"/>
    <s v="電池"/>
    <n v="35"/>
    <n v="85"/>
    <x v="32"/>
  </r>
  <r>
    <s v="OD1455"/>
    <s v="110.2.9(二)"/>
    <s v="電池"/>
    <n v="35"/>
    <n v="15"/>
    <x v="33"/>
  </r>
  <r>
    <s v="OD1459"/>
    <s v="110.2.10(三)"/>
    <s v="電池"/>
    <n v="35"/>
    <n v="20"/>
    <x v="8"/>
  </r>
  <r>
    <s v="OD1460"/>
    <s v="110.2.11(四)"/>
    <s v="電池"/>
    <n v="35"/>
    <n v="40"/>
    <x v="31"/>
  </r>
  <r>
    <s v="OD1463"/>
    <s v="110.2.11(四)"/>
    <s v="電池"/>
    <n v="35"/>
    <n v="50"/>
    <x v="4"/>
  </r>
  <r>
    <s v="OD1464"/>
    <s v="110.2.11(四)"/>
    <s v="電池"/>
    <n v="35"/>
    <n v="40"/>
    <x v="31"/>
  </r>
  <r>
    <s v="OD1465"/>
    <s v="110.2.13(六)"/>
    <s v="電池"/>
    <n v="35"/>
    <n v="10"/>
    <x v="14"/>
  </r>
  <r>
    <s v="OD1466"/>
    <s v="110.2.14(日)"/>
    <s v="電池"/>
    <n v="35"/>
    <n v="20"/>
    <x v="8"/>
  </r>
  <r>
    <s v="OD1467"/>
    <s v="110.2.14(日)"/>
    <s v="電池"/>
    <n v="35"/>
    <n v="10"/>
    <x v="14"/>
  </r>
  <r>
    <s v="OD1470"/>
    <s v="110.2.15(一)"/>
    <s v="電池"/>
    <n v="35"/>
    <n v="10"/>
    <x v="14"/>
  </r>
  <r>
    <s v="OD1472"/>
    <s v="110.2.16(二)"/>
    <s v="電池"/>
    <n v="35"/>
    <n v="70"/>
    <x v="34"/>
  </r>
  <r>
    <s v="OD1473"/>
    <s v="110.2.17(三)"/>
    <s v="電池"/>
    <n v="35"/>
    <n v="20"/>
    <x v="8"/>
  </r>
  <r>
    <s v="OD1475"/>
    <s v="110.2.17(三)"/>
    <s v="電池"/>
    <n v="35"/>
    <n v="85"/>
    <x v="32"/>
  </r>
  <r>
    <s v="OD1477"/>
    <s v="110.2.17(三)"/>
    <s v="電池"/>
    <n v="35"/>
    <n v="70"/>
    <x v="34"/>
  </r>
  <r>
    <s v="OD1481"/>
    <s v="110.2.17(三)"/>
    <s v="電池"/>
    <n v="35"/>
    <n v="10"/>
    <x v="14"/>
  </r>
  <r>
    <s v="OD1482"/>
    <s v="110.2.19(五)"/>
    <s v="電池"/>
    <n v="35"/>
    <n v="40"/>
    <x v="31"/>
  </r>
  <r>
    <s v="OD1485"/>
    <s v="110.2.19(五)"/>
    <s v="電池"/>
    <n v="35"/>
    <n v="85"/>
    <x v="32"/>
  </r>
  <r>
    <s v="OD1486"/>
    <s v="110.2.19(五)"/>
    <s v="電池"/>
    <n v="35"/>
    <n v="10"/>
    <x v="14"/>
  </r>
  <r>
    <s v="OD1491"/>
    <s v="110.2.20(六)"/>
    <s v="電池"/>
    <n v="35"/>
    <n v="15"/>
    <x v="33"/>
  </r>
  <r>
    <s v="OD1492"/>
    <s v="110.2.20(六)"/>
    <s v="電池"/>
    <n v="35"/>
    <n v="20"/>
    <x v="8"/>
  </r>
  <r>
    <s v="OD1497"/>
    <s v="110.2.20(六)"/>
    <s v="電池"/>
    <n v="35"/>
    <n v="85"/>
    <x v="32"/>
  </r>
  <r>
    <s v="OD1504"/>
    <s v="110.2.20(六)"/>
    <s v="電池"/>
    <n v="35"/>
    <n v="70"/>
    <x v="34"/>
  </r>
  <r>
    <s v="OD1506"/>
    <s v="110.2.21(日)"/>
    <s v="電池"/>
    <n v="35"/>
    <n v="20"/>
    <x v="8"/>
  </r>
  <r>
    <s v="OD1511"/>
    <s v="110.2.21(日)"/>
    <s v="電池"/>
    <n v="35"/>
    <n v="20"/>
    <x v="8"/>
  </r>
  <r>
    <s v="OD1517"/>
    <s v="110.2.21(日)"/>
    <s v="電池"/>
    <n v="35"/>
    <n v="70"/>
    <x v="34"/>
  </r>
  <r>
    <s v="OD1518"/>
    <s v="110.2.21(日)"/>
    <s v="電池"/>
    <n v="35"/>
    <n v="70"/>
    <x v="34"/>
  </r>
  <r>
    <s v="OD1519"/>
    <s v="110.2.21(日)"/>
    <s v="電池"/>
    <n v="35"/>
    <n v="20"/>
    <x v="8"/>
  </r>
  <r>
    <s v="OD1521"/>
    <s v="110.2.22(一)"/>
    <s v="電池"/>
    <n v="35"/>
    <n v="20"/>
    <x v="8"/>
  </r>
  <r>
    <s v="OD1523"/>
    <s v="110.2.22(一)"/>
    <s v="電池"/>
    <n v="35"/>
    <n v="10"/>
    <x v="14"/>
  </r>
  <r>
    <s v="OD1530"/>
    <s v="110.2.22(一)"/>
    <s v="電池"/>
    <n v="35"/>
    <n v="90"/>
    <x v="17"/>
  </r>
  <r>
    <s v="OD1538"/>
    <s v="110.2.25(四)"/>
    <s v="電池"/>
    <n v="35"/>
    <n v="45"/>
    <x v="11"/>
  </r>
  <r>
    <s v="OD1541"/>
    <s v="110.2.26(五)"/>
    <s v="電池"/>
    <n v="35"/>
    <n v="65"/>
    <x v="35"/>
  </r>
  <r>
    <s v="OD1543"/>
    <s v="110.2.26(五)"/>
    <s v="電池"/>
    <n v="35"/>
    <n v="40"/>
    <x v="31"/>
  </r>
  <r>
    <s v="OD1544"/>
    <s v="110.2.27(六)"/>
    <s v="電池"/>
    <n v="35"/>
    <n v="85"/>
    <x v="32"/>
  </r>
  <r>
    <s v="OD1546"/>
    <s v="110.2.28(日)"/>
    <s v="電池"/>
    <n v="35"/>
    <n v="10"/>
    <x v="14"/>
  </r>
  <r>
    <s v="OD1547"/>
    <s v="110.2.28(日)"/>
    <s v="電池"/>
    <n v="35"/>
    <n v="70"/>
    <x v="34"/>
  </r>
  <r>
    <s v="OD1548"/>
    <s v="110.2.28(日)"/>
    <s v="電池"/>
    <n v="35"/>
    <n v="50"/>
    <x v="4"/>
  </r>
  <r>
    <s v="OD1549"/>
    <s v="110.3.1(一)"/>
    <s v="電池"/>
    <n v="35"/>
    <n v="85"/>
    <x v="32"/>
  </r>
  <r>
    <s v="OD1552"/>
    <s v="110.3.1(一)"/>
    <s v="電池"/>
    <n v="35"/>
    <n v="45"/>
    <x v="11"/>
  </r>
  <r>
    <s v="OD1553"/>
    <s v="110.3.1(一)"/>
    <s v="電池"/>
    <n v="35"/>
    <n v="10"/>
    <x v="14"/>
  </r>
  <r>
    <s v="OD1554"/>
    <s v="110.3.1(一)"/>
    <s v="電池"/>
    <n v="35"/>
    <n v="45"/>
    <x v="11"/>
  </r>
  <r>
    <s v="OD1557"/>
    <s v="110.3.1(一)"/>
    <s v="電池"/>
    <n v="35"/>
    <n v="10"/>
    <x v="14"/>
  </r>
  <r>
    <s v="OD1558"/>
    <s v="110.3.2(二)"/>
    <s v="電池"/>
    <n v="35"/>
    <n v="20"/>
    <x v="8"/>
  </r>
  <r>
    <s v="OD1560"/>
    <s v="110.3.4(四)"/>
    <s v="電池"/>
    <n v="35"/>
    <n v="85"/>
    <x v="32"/>
  </r>
  <r>
    <s v="OD1562"/>
    <s v="110.3.4(四)"/>
    <s v="電池"/>
    <n v="35"/>
    <n v="95"/>
    <x v="21"/>
  </r>
  <r>
    <s v="OD1568"/>
    <s v="110.3.5(五)"/>
    <s v="電池"/>
    <n v="35"/>
    <n v="15"/>
    <x v="33"/>
  </r>
  <r>
    <s v="OD1569"/>
    <s v="110.3.5(五)"/>
    <s v="電池"/>
    <n v="35"/>
    <n v="15"/>
    <x v="33"/>
  </r>
  <r>
    <s v="OD1575"/>
    <s v="110.3.6(六)"/>
    <s v="電池"/>
    <n v="35"/>
    <n v="10"/>
    <x v="14"/>
  </r>
  <r>
    <s v="OD1576"/>
    <s v="110.3.6(六)"/>
    <s v="電池"/>
    <n v="35"/>
    <n v="20"/>
    <x v="8"/>
  </r>
  <r>
    <s v="OD1577"/>
    <s v="110.3.6(六)"/>
    <s v="電池"/>
    <n v="35"/>
    <n v="85"/>
    <x v="32"/>
  </r>
  <r>
    <s v="OD1580"/>
    <s v="110.3.6(六)"/>
    <s v="開關"/>
    <n v="85"/>
    <n v="20"/>
    <x v="2"/>
  </r>
  <r>
    <s v="OD1587"/>
    <s v="110.3.8(一)"/>
    <s v="開關"/>
    <n v="85"/>
    <n v="70"/>
    <x v="13"/>
  </r>
  <r>
    <s v="OD1592"/>
    <s v="110.3.8(一)"/>
    <s v="開關"/>
    <n v="85"/>
    <n v="10"/>
    <x v="24"/>
  </r>
  <r>
    <s v="OD1596"/>
    <s v="110.3.9(二)"/>
    <s v="開關"/>
    <n v="85"/>
    <n v="10"/>
    <x v="24"/>
  </r>
  <r>
    <s v="OD1597"/>
    <s v="110.3.9(二)"/>
    <s v="開關"/>
    <n v="85"/>
    <n v="10"/>
    <x v="24"/>
  </r>
  <r>
    <s v="OD1600"/>
    <s v="110.3.9(二)"/>
    <s v="開關"/>
    <n v="85"/>
    <n v="10"/>
    <x v="24"/>
  </r>
  <r>
    <s v="OD1602"/>
    <s v="110.3.9(二)"/>
    <s v="開關"/>
    <n v="85"/>
    <n v="45"/>
    <x v="36"/>
  </r>
  <r>
    <s v="OD1603"/>
    <s v="110.3.10(三)"/>
    <s v="調整器"/>
    <n v="125"/>
    <n v="65"/>
    <x v="37"/>
  </r>
  <r>
    <s v="OD1606"/>
    <s v="110.3.11(四)"/>
    <s v="調整器"/>
    <n v="125"/>
    <n v="85"/>
    <x v="20"/>
  </r>
  <r>
    <s v="OD1607"/>
    <s v="110.3.11(四)"/>
    <s v="調整器"/>
    <n v="125"/>
    <n v="85"/>
    <x v="20"/>
  </r>
  <r>
    <s v="OD1610"/>
    <s v="110.3.12(五)"/>
    <s v="調整器"/>
    <n v="125"/>
    <n v="20"/>
    <x v="38"/>
  </r>
  <r>
    <s v="OD1613"/>
    <s v="110.3.13(六)"/>
    <s v="調整器"/>
    <n v="125"/>
    <n v="20"/>
    <x v="38"/>
  </r>
  <r>
    <s v="OD1614"/>
    <s v="110.3.13(六)"/>
    <s v="調整器"/>
    <n v="125"/>
    <n v="85"/>
    <x v="20"/>
  </r>
  <r>
    <s v="OD1615"/>
    <s v="110.3.13(六)"/>
    <s v="調整器"/>
    <n v="125"/>
    <n v="10"/>
    <x v="10"/>
  </r>
  <r>
    <s v="OD1617"/>
    <s v="110.3.13(六)"/>
    <s v="調整器"/>
    <n v="125"/>
    <n v="50"/>
    <x v="39"/>
  </r>
  <r>
    <s v="OD1618"/>
    <s v="110.3.14(日)"/>
    <s v="調整器"/>
    <n v="125"/>
    <n v="50"/>
    <x v="39"/>
  </r>
  <r>
    <s v="OD1620"/>
    <s v="110.3.14(日)"/>
    <s v="調整器"/>
    <n v="125"/>
    <n v="70"/>
    <x v="40"/>
  </r>
  <r>
    <s v="OD1621"/>
    <s v="110.3.14(日)"/>
    <s v="繼電器"/>
    <n v="105"/>
    <n v="50"/>
    <x v="41"/>
  </r>
  <r>
    <s v="OD1622"/>
    <s v="110.3.14(日)"/>
    <s v="繼電器"/>
    <n v="105"/>
    <n v="85"/>
    <x v="42"/>
  </r>
  <r>
    <s v="OD1623"/>
    <s v="110.3.14(日)"/>
    <s v="繼電器"/>
    <n v="105"/>
    <n v="70"/>
    <x v="29"/>
  </r>
  <r>
    <s v="OD1624"/>
    <s v="110.3.15(一)"/>
    <s v="繼電器"/>
    <n v="105"/>
    <n v="10"/>
    <x v="1"/>
  </r>
  <r>
    <s v="OD1632"/>
    <s v="110.3.16(二)"/>
    <s v="繼電器"/>
    <n v="105"/>
    <n v="40"/>
    <x v="5"/>
  </r>
  <r>
    <s v="OD1633"/>
    <s v="110.3.16(二)"/>
    <s v="繼電器"/>
    <n v="105"/>
    <n v="20"/>
    <x v="6"/>
  </r>
  <r>
    <s v="OD1635"/>
    <s v="110.3.17(三)"/>
    <s v="繼電器"/>
    <n v="105"/>
    <n v="70"/>
    <x v="29"/>
  </r>
  <r>
    <s v="OD1637"/>
    <s v="110.3.18(四)"/>
    <s v="繼電器"/>
    <n v="105"/>
    <n v="10"/>
    <x v="1"/>
  </r>
  <r>
    <s v="OD1642"/>
    <s v="110.3.18(四)"/>
    <s v="電源"/>
    <n v="60"/>
    <n v="10"/>
    <x v="18"/>
  </r>
  <r>
    <s v="OD1649"/>
    <s v="110.3.19(五)"/>
    <s v="電源"/>
    <n v="60"/>
    <n v="15"/>
    <x v="12"/>
  </r>
  <r>
    <s v="OD1652"/>
    <s v="110.3.20(六)"/>
    <s v="電源"/>
    <n v="60"/>
    <n v="95"/>
    <x v="30"/>
  </r>
  <r>
    <s v="OD1653"/>
    <s v="110.3.20(六)"/>
    <s v="電源"/>
    <n v="60"/>
    <n v="40"/>
    <x v="22"/>
  </r>
  <r>
    <s v="OD1655"/>
    <s v="110.3.21(日)"/>
    <s v="電源"/>
    <n v="60"/>
    <n v="20"/>
    <x v="9"/>
  </r>
  <r>
    <s v="OD1660"/>
    <s v="110.3.21(日)"/>
    <s v="電源"/>
    <n v="60"/>
    <n v="10"/>
    <x v="18"/>
  </r>
  <r>
    <s v="OD1661"/>
    <s v="110.3.21(日)"/>
    <s v="電源"/>
    <n v="60"/>
    <n v="70"/>
    <x v="5"/>
  </r>
  <r>
    <s v="OD1662"/>
    <s v="110.3.21(日)"/>
    <s v="電源"/>
    <n v="60"/>
    <n v="10"/>
    <x v="18"/>
  </r>
  <r>
    <s v="OD1664"/>
    <s v="110.3.21(日)"/>
    <s v="電源"/>
    <n v="60"/>
    <n v="85"/>
    <x v="43"/>
  </r>
  <r>
    <s v="OD1668"/>
    <s v="110.3.22(一)"/>
    <s v="電源"/>
    <n v="60"/>
    <n v="10"/>
    <x v="18"/>
  </r>
  <r>
    <s v="OD1670"/>
    <s v="110.3.22(一)"/>
    <s v="電源"/>
    <n v="60"/>
    <n v="15"/>
    <x v="12"/>
  </r>
  <r>
    <s v="OD1673"/>
    <s v="110.3.22(一)"/>
    <s v="電源"/>
    <n v="60"/>
    <n v="10"/>
    <x v="18"/>
  </r>
  <r>
    <s v="OD1674"/>
    <s v="110.3.22(一)"/>
    <s v="電源"/>
    <n v="60"/>
    <n v="15"/>
    <x v="12"/>
  </r>
  <r>
    <s v="OD1675"/>
    <s v="110.3.23(二)"/>
    <s v="電源"/>
    <n v="60"/>
    <n v="10"/>
    <x v="18"/>
  </r>
  <r>
    <s v="OD1678"/>
    <s v="110.3.23(二)"/>
    <s v="電源"/>
    <n v="60"/>
    <n v="65"/>
    <x v="23"/>
  </r>
  <r>
    <s v="OD1680"/>
    <s v="110.3.23(二)"/>
    <s v="電源"/>
    <n v="60"/>
    <n v="15"/>
    <x v="12"/>
  </r>
  <r>
    <s v="OD1682"/>
    <s v="110.3.25(四)"/>
    <s v="電源"/>
    <n v="60"/>
    <n v="95"/>
    <x v="30"/>
  </r>
  <r>
    <s v="OD1683"/>
    <s v="110.3.26(五)"/>
    <s v="電源"/>
    <n v="60"/>
    <n v="40"/>
    <x v="22"/>
  </r>
  <r>
    <s v="OD1684"/>
    <s v="110.3.27(六)"/>
    <s v="電源"/>
    <n v="60"/>
    <n v="15"/>
    <x v="12"/>
  </r>
  <r>
    <s v="OD1686"/>
    <s v="110.3.27(六)"/>
    <s v="電源"/>
    <n v="60"/>
    <n v="85"/>
    <x v="43"/>
  </r>
  <r>
    <s v="OD1689"/>
    <s v="110.3.27(六)"/>
    <s v="電源"/>
    <n v="60"/>
    <n v="70"/>
    <x v="5"/>
  </r>
  <r>
    <s v="OD1690"/>
    <s v="110.3.28(日)"/>
    <s v="電源"/>
    <n v="60"/>
    <n v="85"/>
    <x v="43"/>
  </r>
  <r>
    <s v="OD1693"/>
    <s v="110.3.28(日)"/>
    <s v="電源"/>
    <n v="60"/>
    <n v="15"/>
    <x v="12"/>
  </r>
  <r>
    <s v="OD1694"/>
    <s v="110.3.29(一)"/>
    <s v="電源"/>
    <n v="60"/>
    <n v="20"/>
    <x v="9"/>
  </r>
  <r>
    <s v="OD1695"/>
    <s v="110.3.29(一)"/>
    <s v="電源"/>
    <n v="60"/>
    <n v="20"/>
    <x v="9"/>
  </r>
  <r>
    <s v="OD1700"/>
    <s v="110.3.30(二)"/>
    <s v="電源"/>
    <n v="60"/>
    <n v="45"/>
    <x v="44"/>
  </r>
  <r>
    <s v="OD1701"/>
    <s v="110.3.30(二)"/>
    <s v="電源"/>
    <n v="60"/>
    <n v="40"/>
    <x v="22"/>
  </r>
  <r>
    <s v="OD1704"/>
    <s v="110.3.31(三)"/>
    <s v="電源"/>
    <n v="60"/>
    <n v="90"/>
    <x v="45"/>
  </r>
  <r>
    <s v="OD1706"/>
    <s v="110.3.31(三)"/>
    <s v="電源"/>
    <n v="60"/>
    <n v="2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CE0E8-79EB-4699-B2A1-8F60804525F1}" name="樞紐分析表1" cacheId="3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compact="0" compactData="0" multipleFieldFilters="0">
  <location ref="A3:B50" firstHeaderRow="1" firstDataRow="1" firstDataCol="1"/>
  <pivotFields count="6"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8">
        <item x="14"/>
        <item x="33"/>
        <item x="18"/>
        <item x="8"/>
        <item x="12"/>
        <item x="1"/>
        <item x="9"/>
        <item m="1" x="63"/>
        <item x="31"/>
        <item x="11"/>
        <item x="4"/>
        <item x="6"/>
        <item x="35"/>
        <item x="22"/>
        <item x="34"/>
        <item x="38"/>
        <item m="1" x="53"/>
        <item m="1" x="104"/>
        <item x="44"/>
        <item m="1" x="101"/>
        <item x="32"/>
        <item x="0"/>
        <item x="17"/>
        <item x="21"/>
        <item m="1" x="87"/>
        <item m="1" x="97"/>
        <item x="36"/>
        <item m="1" x="95"/>
        <item x="23"/>
        <item m="1" x="93"/>
        <item x="5"/>
        <item x="27"/>
        <item m="1" x="91"/>
        <item m="1" x="70"/>
        <item m="1" x="88"/>
        <item x="26"/>
        <item x="28"/>
        <item m="1" x="51"/>
        <item m="1" x="85"/>
        <item m="1" x="84"/>
        <item x="43"/>
        <item x="41"/>
        <item x="45"/>
        <item m="1" x="80"/>
        <item x="30"/>
        <item x="13"/>
        <item x="39"/>
        <item m="1" x="77"/>
        <item m="1" x="105"/>
        <item m="1" x="76"/>
        <item m="1" x="75"/>
        <item m="1" x="74"/>
        <item m="1" x="81"/>
        <item x="29"/>
        <item m="1" x="64"/>
        <item m="1" x="106"/>
        <item m="1" x="71"/>
        <item m="1" x="89"/>
        <item m="1" x="69"/>
        <item m="1" x="86"/>
        <item m="1" x="57"/>
        <item x="42"/>
        <item m="1" x="50"/>
        <item m="1" x="102"/>
        <item m="1" x="48"/>
        <item m="1" x="54"/>
        <item m="1" x="67"/>
        <item m="1" x="96"/>
        <item m="1" x="99"/>
        <item m="1" x="65"/>
        <item x="20"/>
        <item m="1" x="72"/>
        <item m="1" x="100"/>
        <item m="1" x="47"/>
        <item m="1" x="62"/>
        <item m="1" x="90"/>
        <item m="1" x="60"/>
        <item m="1" x="94"/>
        <item m="1" x="103"/>
        <item m="1" x="46"/>
        <item m="1" x="55"/>
        <item m="1" x="58"/>
        <item m="1" x="73"/>
        <item m="1" x="83"/>
        <item m="1" x="82"/>
        <item m="1" x="56"/>
        <item m="1" x="61"/>
        <item m="1" x="49"/>
        <item m="1" x="68"/>
        <item m="1" x="66"/>
        <item m="1" x="78"/>
        <item m="1" x="98"/>
        <item m="1" x="79"/>
        <item m="1" x="92"/>
        <item m="1" x="52"/>
        <item m="1" x="59"/>
        <item x="2"/>
        <item x="3"/>
        <item x="7"/>
        <item x="10"/>
        <item x="15"/>
        <item x="16"/>
        <item x="19"/>
        <item x="24"/>
        <item x="25"/>
        <item x="37"/>
        <item x="40"/>
        <item t="default"/>
      </items>
    </pivotField>
  </pivotFields>
  <rowFields count="1">
    <field x="5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8"/>
    </i>
    <i>
      <x v="20"/>
    </i>
    <i>
      <x v="21"/>
    </i>
    <i>
      <x v="22"/>
    </i>
    <i>
      <x v="23"/>
    </i>
    <i>
      <x v="26"/>
    </i>
    <i>
      <x v="28"/>
    </i>
    <i>
      <x v="30"/>
    </i>
    <i>
      <x v="31"/>
    </i>
    <i>
      <x v="35"/>
    </i>
    <i>
      <x v="36"/>
    </i>
    <i>
      <x v="40"/>
    </i>
    <i>
      <x v="41"/>
    </i>
    <i>
      <x v="42"/>
    </i>
    <i>
      <x v="44"/>
    </i>
    <i>
      <x v="45"/>
    </i>
    <i>
      <x v="46"/>
    </i>
    <i>
      <x v="53"/>
    </i>
    <i>
      <x v="61"/>
    </i>
    <i>
      <x v="70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 t="grand">
      <x/>
    </i>
  </rowItems>
  <colItems count="1">
    <i/>
  </colItems>
  <dataFields count="1">
    <dataField name="交易筆數" fld="0" subtotal="count" baseField="0" baseItem="0"/>
  </dataFields>
  <formats count="11">
    <format dxfId="17">
      <pivotArea type="all" dataOnly="0" outline="0" fieldPosition="0"/>
    </format>
    <format dxfId="16">
      <pivotArea field="5" type="button" dataOnly="0" labelOnly="1" outline="0" axis="axisRow" fieldPosition="0"/>
    </format>
    <format dxfId="15">
      <pivotArea dataOnly="0" labelOnly="1" fieldPosition="0">
        <references count="1">
          <reference field="5" count="0"/>
        </references>
      </pivotArea>
    </format>
    <format dxfId="14">
      <pivotArea dataOnly="0" labelOnly="1" grandRow="1" outline="0" fieldPosition="0"/>
    </format>
    <format dxfId="13">
      <pivotArea type="all" dataOnly="0" outline="0" fieldPosition="0"/>
    </format>
    <format dxfId="12">
      <pivotArea field="5" type="button" dataOnly="0" labelOnly="1" outline="0" axis="axisRow" fieldPosition="0"/>
    </format>
    <format dxfId="11">
      <pivotArea dataOnly="0" labelOnly="1" fieldPosition="0">
        <references count="1">
          <reference field="5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1">
      <pivotArea outline="0" fieldPosition="0">
        <references count="1">
          <reference field="5" count="0" selected="0"/>
        </references>
      </pivotArea>
    </format>
    <format dxfId="0">
      <pivotArea dataOnly="0" labelOnly="1" outline="0" fieldPosition="0">
        <references count="1">
          <reference field="5" count="0"/>
        </references>
      </pivotArea>
    </format>
  </formats>
  <pivotTableStyleInfo name="PivotStyleLight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DDAD6-8123-4821-918F-69F4D6CA55AD}" name="表格1" displayName="表格1" ref="A3:F33" totalsRowShown="0" headerRowDxfId="25" dataDxfId="24">
  <autoFilter ref="A3:F33" xr:uid="{32946742-33C3-4B6A-914C-C6C0AAC7C9BD}"/>
  <tableColumns count="6">
    <tableColumn id="1" xr3:uid="{66FF928A-D41D-4259-9EA6-2EDC9D9362D7}" name="工號" dataDxfId="23"/>
    <tableColumn id="2" xr3:uid="{426B4FF6-34CA-4E4A-90F5-68632C162BE1}" name="姓名" dataDxfId="22"/>
    <tableColumn id="3" xr3:uid="{2378365F-2AD3-4246-9239-5E36DF045959}" name="考績" dataDxfId="21"/>
    <tableColumn id="4" xr3:uid="{2D944EF1-6F77-4235-947E-E1CC756D4C65}" name="獎金" dataDxfId="20"/>
    <tableColumn id="5" xr3:uid="{1E01C9FE-45BA-49D9-B767-BD226A40021D}" name="產品線" dataDxfId="19"/>
    <tableColumn id="6" xr3:uid="{647CF30C-5792-4EA1-BD21-BA7B06050851}" name="地區" dataDxfId="18"/>
  </tableColumns>
  <tableStyleInfo name="TableStyleLight1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0FE7C-7628-4705-A0E4-6FB0398E340F}" name="銷售明細表" displayName="銷售明細表" ref="B3:G195" totalsRowShown="0" headerRowDxfId="8">
  <autoFilter ref="B3:G195" xr:uid="{7EF621C1-9049-4C49-A070-B3CF3315253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6" xr3:uid="{BC188ABB-B781-494A-AB01-38BD2E033A87}" name="編號" dataDxfId="7" dataCellStyle="0,0_x000d__x000a_NA_x000d__x000a_ 2"/>
    <tableColumn id="1" xr3:uid="{18895E4D-F910-4712-B5C7-FD4BFE3877DB}" name="日期" dataDxfId="6"/>
    <tableColumn id="2" xr3:uid="{28834981-ED4B-439A-A2AB-41D53E17CD38}" name="產品類別" dataDxfId="5" dataCellStyle="0,0_x000d__x000a_NA_x000d__x000a_ 2"/>
    <tableColumn id="3" xr3:uid="{AECF6D3B-A761-4DD6-BE95-A5842F3F4E7A}" name="單價" dataDxfId="4"/>
    <tableColumn id="4" xr3:uid="{E8D33221-F0B6-461A-93B9-748CC1162C04}" name="單位" dataDxfId="3"/>
    <tableColumn id="5" xr3:uid="{781E348F-AEAD-47B7-B947-FA02054DA80B}" name="消費金額" dataDxfId="2">
      <calculatedColumnFormula>E4*F4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05FC6-374F-4D85-A79C-E0AB1DFC6C77}">
  <dimension ref="A1:H14"/>
  <sheetViews>
    <sheetView tabSelected="1" workbookViewId="0">
      <selection activeCell="A5" sqref="A5"/>
    </sheetView>
  </sheetViews>
  <sheetFormatPr defaultColWidth="8" defaultRowHeight="15.75"/>
  <cols>
    <col min="1" max="1" width="5.625" style="3" customWidth="1"/>
    <col min="2" max="2" width="6.75" style="3" customWidth="1"/>
    <col min="3" max="8" width="15.875" style="3" bestFit="1" customWidth="1"/>
    <col min="9" max="16384" width="8" style="3"/>
  </cols>
  <sheetData>
    <row r="1" spans="1:8" ht="21">
      <c r="A1" s="29" t="s">
        <v>3</v>
      </c>
      <c r="B1" s="2"/>
      <c r="C1" s="2"/>
      <c r="D1" s="2"/>
      <c r="E1" s="2"/>
      <c r="F1" s="2"/>
      <c r="G1" s="2"/>
      <c r="H1" s="2"/>
    </row>
    <row r="2" spans="1:8">
      <c r="A2" s="2" t="s">
        <v>140</v>
      </c>
      <c r="B2" s="2"/>
      <c r="C2" s="2"/>
      <c r="D2" s="2"/>
      <c r="E2" s="2"/>
      <c r="F2" s="2"/>
      <c r="G2" s="2"/>
      <c r="H2" s="2"/>
    </row>
    <row r="4" spans="1:8">
      <c r="C4" s="3" t="s">
        <v>58</v>
      </c>
      <c r="D4" s="4" t="s">
        <v>59</v>
      </c>
      <c r="E4" s="4" t="s">
        <v>36</v>
      </c>
      <c r="F4" s="4" t="s">
        <v>37</v>
      </c>
      <c r="G4" s="4" t="s">
        <v>38</v>
      </c>
      <c r="H4" s="4" t="s">
        <v>60</v>
      </c>
    </row>
    <row r="5" spans="1:8">
      <c r="A5" s="3" t="s">
        <v>0</v>
      </c>
      <c r="C5" s="5">
        <v>12780000</v>
      </c>
      <c r="D5" s="5">
        <v>13802400</v>
      </c>
      <c r="E5" s="5">
        <v>14906592.000000002</v>
      </c>
      <c r="F5" s="5">
        <v>16099119.360000003</v>
      </c>
      <c r="G5" s="5">
        <v>17387048.908800006</v>
      </c>
      <c r="H5" s="5">
        <v>18778012.821504008</v>
      </c>
    </row>
    <row r="6" spans="1:8">
      <c r="C6" s="5"/>
      <c r="D6" s="5"/>
      <c r="E6" s="5"/>
      <c r="F6" s="5"/>
      <c r="G6" s="5"/>
      <c r="H6" s="5"/>
    </row>
    <row r="7" spans="1:8">
      <c r="A7" s="3" t="s">
        <v>4</v>
      </c>
      <c r="B7" s="3" t="s">
        <v>1</v>
      </c>
      <c r="C7" s="5">
        <v>3678000</v>
      </c>
      <c r="D7" s="5">
        <v>3878000</v>
      </c>
      <c r="E7" s="5"/>
      <c r="F7" s="5"/>
      <c r="G7" s="5"/>
      <c r="H7" s="5"/>
    </row>
    <row r="8" spans="1:8">
      <c r="B8" s="3" t="s">
        <v>5</v>
      </c>
      <c r="C8" s="5">
        <v>1684000</v>
      </c>
      <c r="D8" s="5">
        <v>1884000</v>
      </c>
      <c r="E8" s="5"/>
      <c r="F8" s="5"/>
      <c r="G8" s="5"/>
      <c r="H8" s="5"/>
    </row>
    <row r="9" spans="1:8">
      <c r="B9" s="3" t="s">
        <v>6</v>
      </c>
      <c r="C9" s="5">
        <v>2042000</v>
      </c>
      <c r="D9" s="5">
        <v>2242000</v>
      </c>
      <c r="E9" s="5"/>
      <c r="F9" s="5"/>
      <c r="G9" s="5"/>
      <c r="H9" s="5"/>
    </row>
    <row r="10" spans="1:8">
      <c r="B10" s="3" t="s">
        <v>7</v>
      </c>
      <c r="C10" s="5">
        <v>2754000</v>
      </c>
      <c r="D10" s="5">
        <v>2954000</v>
      </c>
      <c r="E10" s="5"/>
      <c r="F10" s="5"/>
      <c r="G10" s="5"/>
      <c r="H10" s="5"/>
    </row>
    <row r="11" spans="1:8" ht="16.5" thickBot="1">
      <c r="B11" s="3" t="s">
        <v>8</v>
      </c>
      <c r="C11" s="5">
        <v>1548600</v>
      </c>
      <c r="D11" s="5">
        <v>1748600</v>
      </c>
      <c r="E11" s="5"/>
      <c r="F11" s="5"/>
      <c r="G11" s="5"/>
      <c r="H11" s="5"/>
    </row>
    <row r="12" spans="1:8">
      <c r="A12" s="3" t="s">
        <v>2</v>
      </c>
      <c r="C12" s="6">
        <f t="shared" ref="C12:H12" si="0">SUM(C7:C11)</f>
        <v>11706600</v>
      </c>
      <c r="D12" s="6">
        <f t="shared" si="0"/>
        <v>12706600</v>
      </c>
      <c r="E12" s="6">
        <f t="shared" si="0"/>
        <v>0</v>
      </c>
      <c r="F12" s="6">
        <f t="shared" si="0"/>
        <v>0</v>
      </c>
      <c r="G12" s="6">
        <f t="shared" si="0"/>
        <v>0</v>
      </c>
      <c r="H12" s="6">
        <f t="shared" si="0"/>
        <v>0</v>
      </c>
    </row>
    <row r="13" spans="1:8">
      <c r="C13" s="5"/>
      <c r="D13" s="5"/>
      <c r="E13" s="5"/>
      <c r="F13" s="5"/>
      <c r="G13" s="5"/>
      <c r="H13" s="5"/>
    </row>
    <row r="14" spans="1:8">
      <c r="A14" s="3" t="s">
        <v>9</v>
      </c>
      <c r="C14" s="5">
        <f t="shared" ref="C14:H14" si="1">C5-C12</f>
        <v>1073400</v>
      </c>
      <c r="D14" s="5">
        <f t="shared" si="1"/>
        <v>1095800</v>
      </c>
      <c r="E14" s="5">
        <f t="shared" si="1"/>
        <v>14906592.000000002</v>
      </c>
      <c r="F14" s="5">
        <f t="shared" si="1"/>
        <v>16099119.360000003</v>
      </c>
      <c r="G14" s="5">
        <f t="shared" si="1"/>
        <v>17387048.908800006</v>
      </c>
      <c r="H14" s="5">
        <f t="shared" si="1"/>
        <v>18778012.821504008</v>
      </c>
    </row>
  </sheetData>
  <phoneticPr fontId="4" type="noConversion"/>
  <printOptions gridLines="1" gridLinesSet="0"/>
  <pageMargins left="0.75" right="0.75" top="1" bottom="1" header="0.5" footer="0.5"/>
  <pageSetup paperSize="9" orientation="portrait" horizontalDpi="0" verticalDpi="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6A25E-A1D7-4E9F-A44B-CE0BDCD8308F}">
  <dimension ref="A1:F27"/>
  <sheetViews>
    <sheetView workbookViewId="0">
      <selection sqref="A1:F1"/>
    </sheetView>
  </sheetViews>
  <sheetFormatPr defaultRowHeight="15"/>
  <cols>
    <col min="1" max="1" width="12.5" style="25" bestFit="1" customWidth="1"/>
    <col min="2" max="6" width="8.5" style="25" customWidth="1"/>
    <col min="7" max="7" width="6.625" style="25" customWidth="1"/>
    <col min="8" max="16384" width="9" style="25"/>
  </cols>
  <sheetData>
    <row r="1" spans="1:6" ht="18.75">
      <c r="A1" s="41" t="s">
        <v>3</v>
      </c>
      <c r="B1" s="41"/>
      <c r="C1" s="41"/>
      <c r="D1" s="41"/>
      <c r="E1" s="41"/>
      <c r="F1" s="41"/>
    </row>
    <row r="2" spans="1:6" ht="15.75">
      <c r="A2" s="42" t="s">
        <v>139</v>
      </c>
      <c r="B2" s="42"/>
      <c r="C2" s="42"/>
      <c r="D2" s="42"/>
      <c r="E2" s="42"/>
      <c r="F2" s="42"/>
    </row>
    <row r="3" spans="1:6">
      <c r="A3" s="14" t="s">
        <v>109</v>
      </c>
      <c r="B3" s="26" t="s">
        <v>110</v>
      </c>
      <c r="C3" s="26" t="s">
        <v>111</v>
      </c>
      <c r="D3" s="26" t="s">
        <v>112</v>
      </c>
      <c r="E3" s="26" t="s">
        <v>113</v>
      </c>
      <c r="F3" s="26" t="s">
        <v>114</v>
      </c>
    </row>
    <row r="4" spans="1:6" ht="15.75">
      <c r="A4" s="14" t="s">
        <v>115</v>
      </c>
      <c r="B4" s="27">
        <v>6834</v>
      </c>
      <c r="C4" s="27">
        <v>3303</v>
      </c>
      <c r="D4" s="27">
        <v>3337</v>
      </c>
      <c r="E4" s="27">
        <v>1579</v>
      </c>
      <c r="F4" s="28">
        <v>8502</v>
      </c>
    </row>
    <row r="5" spans="1:6" ht="15.75">
      <c r="A5" s="14" t="s">
        <v>116</v>
      </c>
      <c r="B5" s="27">
        <v>4951</v>
      </c>
      <c r="C5" s="27">
        <v>3311</v>
      </c>
      <c r="D5" s="27">
        <v>2201</v>
      </c>
      <c r="E5" s="27">
        <v>8056</v>
      </c>
      <c r="F5" s="28">
        <v>5227</v>
      </c>
    </row>
    <row r="6" spans="1:6" ht="15.75">
      <c r="A6" s="14" t="s">
        <v>117</v>
      </c>
      <c r="B6" s="27">
        <v>5148</v>
      </c>
      <c r="C6" s="27">
        <v>3863</v>
      </c>
      <c r="D6" s="27">
        <v>4229</v>
      </c>
      <c r="E6" s="27">
        <v>5665</v>
      </c>
      <c r="F6" s="28">
        <v>1966</v>
      </c>
    </row>
    <row r="7" spans="1:6" ht="15.75">
      <c r="A7" s="14" t="s">
        <v>118</v>
      </c>
      <c r="B7" s="27">
        <v>1860</v>
      </c>
      <c r="C7" s="27">
        <v>6033</v>
      </c>
      <c r="D7" s="27">
        <v>2831</v>
      </c>
      <c r="E7" s="27">
        <v>3256</v>
      </c>
      <c r="F7" s="28">
        <v>4161</v>
      </c>
    </row>
    <row r="8" spans="1:6" ht="15.75">
      <c r="A8" s="14" t="s">
        <v>119</v>
      </c>
      <c r="B8" s="27">
        <v>7943</v>
      </c>
      <c r="C8" s="27">
        <v>8728</v>
      </c>
      <c r="D8" s="27">
        <v>4604</v>
      </c>
      <c r="E8" s="27">
        <v>7281</v>
      </c>
      <c r="F8" s="28">
        <v>8275</v>
      </c>
    </row>
    <row r="9" spans="1:6" ht="15.75">
      <c r="A9" s="14" t="s">
        <v>120</v>
      </c>
      <c r="B9" s="27">
        <v>1047</v>
      </c>
      <c r="C9" s="27">
        <v>8935</v>
      </c>
      <c r="D9" s="27">
        <v>3811</v>
      </c>
      <c r="E9" s="27">
        <v>7965</v>
      </c>
      <c r="F9" s="28">
        <v>8064</v>
      </c>
    </row>
    <row r="10" spans="1:6" ht="15.75">
      <c r="A10" s="14" t="s">
        <v>121</v>
      </c>
      <c r="B10" s="27">
        <v>4141</v>
      </c>
      <c r="C10" s="27">
        <v>6493</v>
      </c>
      <c r="D10" s="27">
        <v>2594</v>
      </c>
      <c r="E10" s="27">
        <v>3727</v>
      </c>
      <c r="F10" s="28">
        <v>8064</v>
      </c>
    </row>
    <row r="11" spans="1:6" ht="15.75">
      <c r="A11" s="14" t="s">
        <v>122</v>
      </c>
      <c r="B11" s="27">
        <v>7954</v>
      </c>
      <c r="C11" s="27">
        <v>4063</v>
      </c>
      <c r="D11" s="27">
        <v>6478</v>
      </c>
      <c r="E11" s="27">
        <v>8883</v>
      </c>
      <c r="F11" s="28">
        <v>2832</v>
      </c>
    </row>
    <row r="12" spans="1:6" ht="15.75">
      <c r="A12" s="14" t="s">
        <v>123</v>
      </c>
      <c r="B12" s="27">
        <v>7854</v>
      </c>
      <c r="C12" s="27">
        <v>6225</v>
      </c>
      <c r="D12" s="27">
        <v>5103</v>
      </c>
      <c r="E12" s="27">
        <v>8091</v>
      </c>
      <c r="F12" s="28">
        <v>6759</v>
      </c>
    </row>
    <row r="13" spans="1:6" ht="15.75">
      <c r="A13" s="14" t="s">
        <v>124</v>
      </c>
      <c r="B13" s="27">
        <v>5473</v>
      </c>
      <c r="C13" s="27">
        <v>6494</v>
      </c>
      <c r="D13" s="27">
        <v>4140</v>
      </c>
      <c r="E13" s="27">
        <v>3413</v>
      </c>
      <c r="F13" s="28">
        <v>5835</v>
      </c>
    </row>
    <row r="14" spans="1:6" ht="15.75">
      <c r="A14" s="14" t="s">
        <v>125</v>
      </c>
      <c r="B14" s="27">
        <v>8449</v>
      </c>
      <c r="C14" s="27">
        <v>1512</v>
      </c>
      <c r="D14" s="27">
        <v>2536</v>
      </c>
      <c r="E14" s="27">
        <v>3849</v>
      </c>
      <c r="F14" s="28">
        <v>4206</v>
      </c>
    </row>
    <row r="15" spans="1:6" ht="15.75">
      <c r="A15" s="14" t="s">
        <v>126</v>
      </c>
      <c r="B15" s="27">
        <v>6740</v>
      </c>
      <c r="C15" s="27">
        <v>7676</v>
      </c>
      <c r="D15" s="27">
        <v>6476</v>
      </c>
      <c r="E15" s="27">
        <v>2496</v>
      </c>
      <c r="F15" s="28">
        <v>8742</v>
      </c>
    </row>
    <row r="16" spans="1:6" ht="15.75">
      <c r="A16" s="14" t="s">
        <v>127</v>
      </c>
      <c r="B16" s="27">
        <v>7682</v>
      </c>
      <c r="C16" s="27">
        <v>3520</v>
      </c>
      <c r="D16" s="27">
        <v>8002</v>
      </c>
      <c r="E16" s="27">
        <v>6009</v>
      </c>
      <c r="F16" s="28">
        <v>6058</v>
      </c>
    </row>
    <row r="17" spans="1:6" ht="15.75">
      <c r="A17" s="14" t="s">
        <v>128</v>
      </c>
      <c r="B17" s="27">
        <v>8320</v>
      </c>
      <c r="C17" s="27">
        <v>8574</v>
      </c>
      <c r="D17" s="27">
        <v>2823</v>
      </c>
      <c r="E17" s="27">
        <v>8091</v>
      </c>
      <c r="F17" s="28">
        <v>8216</v>
      </c>
    </row>
    <row r="18" spans="1:6" ht="15.75">
      <c r="A18" s="14" t="s">
        <v>129</v>
      </c>
      <c r="B18" s="27">
        <v>5414</v>
      </c>
      <c r="C18" s="27">
        <v>5886</v>
      </c>
      <c r="D18" s="27">
        <v>3610</v>
      </c>
      <c r="E18" s="27">
        <v>3413</v>
      </c>
      <c r="F18" s="28">
        <v>7264</v>
      </c>
    </row>
    <row r="19" spans="1:6" ht="15.75">
      <c r="A19" s="14" t="s">
        <v>130</v>
      </c>
      <c r="B19" s="27">
        <v>3088</v>
      </c>
      <c r="C19" s="27">
        <v>2599</v>
      </c>
      <c r="D19" s="27">
        <v>8965</v>
      </c>
      <c r="E19" s="27">
        <v>4158</v>
      </c>
      <c r="F19" s="28">
        <v>1474</v>
      </c>
    </row>
    <row r="20" spans="1:6" ht="15.75">
      <c r="A20" s="14" t="s">
        <v>131</v>
      </c>
      <c r="B20" s="27">
        <v>7119</v>
      </c>
      <c r="C20" s="27">
        <v>4808</v>
      </c>
      <c r="D20" s="27">
        <v>6371</v>
      </c>
      <c r="E20" s="27">
        <v>7221</v>
      </c>
      <c r="F20" s="28">
        <v>4861</v>
      </c>
    </row>
    <row r="21" spans="1:6" ht="15.75">
      <c r="A21" s="14" t="s">
        <v>132</v>
      </c>
      <c r="B21" s="27">
        <v>2305</v>
      </c>
      <c r="C21" s="27">
        <v>2666</v>
      </c>
      <c r="D21" s="27">
        <v>8373</v>
      </c>
      <c r="E21" s="27">
        <v>8295</v>
      </c>
      <c r="F21" s="28">
        <v>2198</v>
      </c>
    </row>
    <row r="22" spans="1:6" ht="15.75">
      <c r="A22" s="14" t="s">
        <v>133</v>
      </c>
      <c r="B22" s="27">
        <v>8576</v>
      </c>
      <c r="C22" s="27">
        <v>8837</v>
      </c>
      <c r="D22" s="27">
        <v>6083</v>
      </c>
      <c r="E22" s="27">
        <v>1952</v>
      </c>
      <c r="F22" s="28">
        <v>5812</v>
      </c>
    </row>
    <row r="23" spans="1:6" ht="15.75">
      <c r="A23" s="14" t="s">
        <v>134</v>
      </c>
      <c r="B23" s="27">
        <v>1927</v>
      </c>
      <c r="C23" s="27">
        <v>3675</v>
      </c>
      <c r="D23" s="27">
        <v>6775</v>
      </c>
      <c r="E23" s="27">
        <v>9159</v>
      </c>
      <c r="F23" s="28">
        <v>6457</v>
      </c>
    </row>
    <row r="24" spans="1:6" ht="15.75">
      <c r="A24" s="14" t="s">
        <v>135</v>
      </c>
      <c r="B24" s="27">
        <v>5508</v>
      </c>
      <c r="C24" s="27">
        <v>1309</v>
      </c>
      <c r="D24" s="27">
        <v>2457</v>
      </c>
      <c r="E24" s="27">
        <v>3871</v>
      </c>
      <c r="F24" s="28">
        <v>5561</v>
      </c>
    </row>
    <row r="25" spans="1:6" ht="15.75">
      <c r="A25" s="14" t="s">
        <v>136</v>
      </c>
      <c r="B25" s="27">
        <v>1140</v>
      </c>
      <c r="C25" s="27">
        <v>5867</v>
      </c>
      <c r="D25" s="27">
        <v>3124</v>
      </c>
      <c r="E25" s="27">
        <v>1691</v>
      </c>
      <c r="F25" s="28">
        <v>8180</v>
      </c>
    </row>
    <row r="26" spans="1:6" ht="15.75">
      <c r="A26" s="14" t="s">
        <v>137</v>
      </c>
      <c r="B26" s="27">
        <v>2608</v>
      </c>
      <c r="C26" s="27">
        <v>3380</v>
      </c>
      <c r="D26" s="27">
        <v>7698</v>
      </c>
      <c r="E26" s="27">
        <v>5066</v>
      </c>
      <c r="F26" s="28">
        <v>6639</v>
      </c>
    </row>
    <row r="27" spans="1:6" ht="15.75">
      <c r="A27" s="14" t="s">
        <v>138</v>
      </c>
      <c r="B27" s="27">
        <v>7465</v>
      </c>
      <c r="C27" s="27">
        <v>6096</v>
      </c>
      <c r="D27" s="27">
        <v>7101</v>
      </c>
      <c r="E27" s="27">
        <v>4474</v>
      </c>
      <c r="F27" s="28">
        <v>4402</v>
      </c>
    </row>
  </sheetData>
  <mergeCells count="2">
    <mergeCell ref="A1:F1"/>
    <mergeCell ref="A2:F2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workbookViewId="0">
      <selection activeCell="D4" sqref="D4"/>
    </sheetView>
  </sheetViews>
  <sheetFormatPr defaultColWidth="9" defaultRowHeight="15"/>
  <cols>
    <col min="1" max="1" width="9" style="14"/>
    <col min="2" max="2" width="7.75" style="14" bestFit="1" customWidth="1"/>
    <col min="3" max="3" width="6.75" style="14" customWidth="1"/>
    <col min="4" max="4" width="10.875" style="14" customWidth="1"/>
    <col min="5" max="5" width="11.875" style="14" bestFit="1" customWidth="1"/>
    <col min="6" max="16384" width="9" style="14"/>
  </cols>
  <sheetData>
    <row r="1" spans="1:15" ht="18.75">
      <c r="A1" s="15" t="s">
        <v>3</v>
      </c>
    </row>
    <row r="2" spans="1:15" ht="16.5">
      <c r="A2" s="16" t="s">
        <v>74</v>
      </c>
      <c r="J2" s="16" t="s">
        <v>73</v>
      </c>
    </row>
    <row r="3" spans="1:15" ht="15.75" thickBot="1">
      <c r="A3" s="14" t="s">
        <v>76</v>
      </c>
      <c r="B3" s="14" t="s">
        <v>61</v>
      </c>
      <c r="C3" s="14" t="s">
        <v>66</v>
      </c>
      <c r="D3" s="14" t="s">
        <v>10</v>
      </c>
      <c r="E3" s="14" t="s">
        <v>107</v>
      </c>
      <c r="F3" s="14" t="s">
        <v>75</v>
      </c>
      <c r="J3" s="17" t="s">
        <v>66</v>
      </c>
      <c r="K3" s="18" t="s">
        <v>71</v>
      </c>
      <c r="L3" s="18" t="s">
        <v>67</v>
      </c>
      <c r="M3" s="18" t="s">
        <v>68</v>
      </c>
      <c r="N3" s="18" t="s">
        <v>69</v>
      </c>
      <c r="O3" s="18" t="s">
        <v>70</v>
      </c>
    </row>
    <row r="4" spans="1:15" ht="15.75" thickTop="1">
      <c r="A4" s="14" t="s">
        <v>96</v>
      </c>
      <c r="B4" s="14" t="s">
        <v>16</v>
      </c>
      <c r="C4" s="14" t="s">
        <v>67</v>
      </c>
      <c r="E4" s="14" t="s">
        <v>64</v>
      </c>
      <c r="F4" s="14" t="s">
        <v>45</v>
      </c>
      <c r="J4" s="19" t="s">
        <v>72</v>
      </c>
      <c r="K4" s="20">
        <v>60</v>
      </c>
      <c r="L4" s="20">
        <v>50</v>
      </c>
      <c r="M4" s="20">
        <v>40</v>
      </c>
      <c r="N4" s="20">
        <v>20</v>
      </c>
      <c r="O4" s="20">
        <v>10</v>
      </c>
    </row>
    <row r="5" spans="1:15">
      <c r="A5" s="14" t="s">
        <v>83</v>
      </c>
      <c r="B5" s="14" t="s">
        <v>17</v>
      </c>
      <c r="C5" s="14" t="s">
        <v>70</v>
      </c>
      <c r="E5" s="14" t="s">
        <v>65</v>
      </c>
      <c r="F5" s="14" t="s">
        <v>47</v>
      </c>
      <c r="J5" s="21" t="s">
        <v>108</v>
      </c>
      <c r="K5" s="22">
        <v>1120</v>
      </c>
      <c r="L5" s="22">
        <v>560</v>
      </c>
      <c r="M5" s="22">
        <v>280</v>
      </c>
      <c r="N5" s="22">
        <v>120</v>
      </c>
      <c r="O5" s="22">
        <v>50</v>
      </c>
    </row>
    <row r="6" spans="1:15">
      <c r="A6" s="14" t="s">
        <v>103</v>
      </c>
      <c r="B6" s="14" t="s">
        <v>18</v>
      </c>
      <c r="C6" s="14" t="s">
        <v>70</v>
      </c>
      <c r="E6" s="14" t="s">
        <v>62</v>
      </c>
      <c r="F6" s="14" t="s">
        <v>49</v>
      </c>
      <c r="J6" s="23" t="s">
        <v>10</v>
      </c>
      <c r="K6" s="24">
        <v>5000</v>
      </c>
      <c r="L6" s="24">
        <v>4000</v>
      </c>
      <c r="M6" s="24">
        <v>1500</v>
      </c>
      <c r="N6" s="24">
        <v>1000</v>
      </c>
      <c r="O6" s="24">
        <v>500</v>
      </c>
    </row>
    <row r="7" spans="1:15">
      <c r="A7" s="14" t="s">
        <v>104</v>
      </c>
      <c r="B7" s="14" t="s">
        <v>19</v>
      </c>
      <c r="C7" s="14" t="s">
        <v>71</v>
      </c>
      <c r="E7" s="14" t="s">
        <v>65</v>
      </c>
      <c r="F7" s="14" t="s">
        <v>50</v>
      </c>
    </row>
    <row r="8" spans="1:15">
      <c r="A8" s="14" t="s">
        <v>85</v>
      </c>
      <c r="B8" s="14" t="s">
        <v>20</v>
      </c>
      <c r="C8" s="14" t="s">
        <v>68</v>
      </c>
      <c r="E8" s="14" t="s">
        <v>62</v>
      </c>
      <c r="F8" s="14" t="s">
        <v>51</v>
      </c>
    </row>
    <row r="9" spans="1:15">
      <c r="A9" s="14" t="s">
        <v>99</v>
      </c>
      <c r="B9" s="14" t="s">
        <v>21</v>
      </c>
      <c r="C9" s="14" t="s">
        <v>68</v>
      </c>
      <c r="E9" s="14" t="s">
        <v>65</v>
      </c>
      <c r="F9" s="14" t="s">
        <v>52</v>
      </c>
    </row>
    <row r="10" spans="1:15">
      <c r="A10" s="14" t="s">
        <v>91</v>
      </c>
      <c r="B10" s="14" t="s">
        <v>22</v>
      </c>
      <c r="C10" s="14" t="s">
        <v>67</v>
      </c>
      <c r="E10" s="14" t="s">
        <v>63</v>
      </c>
      <c r="F10" s="14" t="s">
        <v>45</v>
      </c>
    </row>
    <row r="11" spans="1:15">
      <c r="A11" s="14" t="s">
        <v>93</v>
      </c>
      <c r="B11" s="14" t="s">
        <v>23</v>
      </c>
      <c r="C11" s="14" t="s">
        <v>71</v>
      </c>
      <c r="E11" s="14" t="s">
        <v>62</v>
      </c>
      <c r="F11" s="14" t="s">
        <v>47</v>
      </c>
    </row>
    <row r="12" spans="1:15">
      <c r="A12" s="14" t="s">
        <v>77</v>
      </c>
      <c r="B12" s="14" t="s">
        <v>24</v>
      </c>
      <c r="C12" s="14" t="s">
        <v>68</v>
      </c>
      <c r="E12" s="14" t="s">
        <v>64</v>
      </c>
      <c r="F12" s="14" t="s">
        <v>49</v>
      </c>
    </row>
    <row r="13" spans="1:15">
      <c r="A13" s="14" t="s">
        <v>101</v>
      </c>
      <c r="B13" s="14" t="s">
        <v>25</v>
      </c>
      <c r="C13" s="14" t="s">
        <v>71</v>
      </c>
      <c r="E13" s="14" t="s">
        <v>62</v>
      </c>
      <c r="F13" s="14" t="s">
        <v>50</v>
      </c>
    </row>
    <row r="14" spans="1:15">
      <c r="A14" s="14" t="s">
        <v>90</v>
      </c>
      <c r="B14" s="14" t="s">
        <v>26</v>
      </c>
      <c r="C14" s="14" t="s">
        <v>68</v>
      </c>
      <c r="E14" s="14" t="s">
        <v>65</v>
      </c>
      <c r="F14" s="14" t="s">
        <v>51</v>
      </c>
    </row>
    <row r="15" spans="1:15">
      <c r="A15" s="14" t="s">
        <v>105</v>
      </c>
      <c r="B15" s="14" t="s">
        <v>28</v>
      </c>
      <c r="C15" s="14" t="s">
        <v>68</v>
      </c>
      <c r="E15" s="14" t="s">
        <v>64</v>
      </c>
      <c r="F15" s="14" t="s">
        <v>52</v>
      </c>
    </row>
    <row r="16" spans="1:15">
      <c r="A16" s="14" t="s">
        <v>102</v>
      </c>
      <c r="B16" s="14" t="s">
        <v>27</v>
      </c>
      <c r="C16" s="14" t="s">
        <v>67</v>
      </c>
      <c r="E16" s="14" t="s">
        <v>64</v>
      </c>
      <c r="F16" s="14" t="s">
        <v>45</v>
      </c>
    </row>
    <row r="17" spans="1:6">
      <c r="A17" s="14" t="s">
        <v>88</v>
      </c>
      <c r="B17" s="14" t="s">
        <v>29</v>
      </c>
      <c r="C17" s="14" t="s">
        <v>68</v>
      </c>
      <c r="E17" s="14" t="s">
        <v>63</v>
      </c>
      <c r="F17" s="14" t="s">
        <v>47</v>
      </c>
    </row>
    <row r="18" spans="1:6">
      <c r="A18" s="14" t="s">
        <v>86</v>
      </c>
      <c r="B18" s="14" t="s">
        <v>30</v>
      </c>
      <c r="C18" s="14" t="s">
        <v>67</v>
      </c>
      <c r="E18" s="14" t="s">
        <v>64</v>
      </c>
      <c r="F18" s="14" t="s">
        <v>49</v>
      </c>
    </row>
    <row r="19" spans="1:6">
      <c r="A19" s="14" t="s">
        <v>78</v>
      </c>
      <c r="B19" s="14" t="s">
        <v>31</v>
      </c>
      <c r="C19" s="14" t="s">
        <v>68</v>
      </c>
      <c r="E19" s="14" t="s">
        <v>65</v>
      </c>
      <c r="F19" s="14" t="s">
        <v>50</v>
      </c>
    </row>
    <row r="20" spans="1:6">
      <c r="A20" s="14" t="s">
        <v>84</v>
      </c>
      <c r="B20" s="14" t="s">
        <v>32</v>
      </c>
      <c r="C20" s="14" t="s">
        <v>71</v>
      </c>
      <c r="E20" s="14" t="s">
        <v>64</v>
      </c>
      <c r="F20" s="14" t="s">
        <v>51</v>
      </c>
    </row>
    <row r="21" spans="1:6">
      <c r="A21" s="14" t="s">
        <v>81</v>
      </c>
      <c r="B21" s="14" t="s">
        <v>33</v>
      </c>
      <c r="C21" s="14" t="s">
        <v>67</v>
      </c>
      <c r="E21" s="14" t="s">
        <v>65</v>
      </c>
      <c r="F21" s="14" t="s">
        <v>52</v>
      </c>
    </row>
    <row r="22" spans="1:6">
      <c r="A22" s="14" t="s">
        <v>87</v>
      </c>
      <c r="B22" s="14" t="s">
        <v>35</v>
      </c>
      <c r="C22" s="14" t="s">
        <v>68</v>
      </c>
      <c r="E22" s="14" t="s">
        <v>64</v>
      </c>
      <c r="F22" s="14" t="s">
        <v>45</v>
      </c>
    </row>
    <row r="23" spans="1:6">
      <c r="A23" s="14" t="s">
        <v>92</v>
      </c>
      <c r="B23" s="14" t="s">
        <v>34</v>
      </c>
      <c r="C23" s="14" t="s">
        <v>68</v>
      </c>
      <c r="E23" s="14" t="s">
        <v>63</v>
      </c>
      <c r="F23" s="14" t="s">
        <v>47</v>
      </c>
    </row>
    <row r="24" spans="1:6">
      <c r="A24" s="14" t="s">
        <v>79</v>
      </c>
      <c r="B24" s="14" t="s">
        <v>11</v>
      </c>
      <c r="C24" s="14" t="s">
        <v>68</v>
      </c>
      <c r="E24" s="14" t="s">
        <v>62</v>
      </c>
      <c r="F24" s="14" t="s">
        <v>49</v>
      </c>
    </row>
    <row r="25" spans="1:6">
      <c r="A25" s="14" t="s">
        <v>97</v>
      </c>
      <c r="B25" s="14" t="s">
        <v>53</v>
      </c>
      <c r="C25" s="14" t="s">
        <v>68</v>
      </c>
      <c r="E25" s="14" t="s">
        <v>63</v>
      </c>
      <c r="F25" s="14" t="s">
        <v>50</v>
      </c>
    </row>
    <row r="26" spans="1:6">
      <c r="A26" s="14" t="s">
        <v>89</v>
      </c>
      <c r="B26" s="14" t="s">
        <v>12</v>
      </c>
      <c r="C26" s="14" t="s">
        <v>69</v>
      </c>
      <c r="E26" s="14" t="s">
        <v>64</v>
      </c>
      <c r="F26" s="14" t="s">
        <v>51</v>
      </c>
    </row>
    <row r="27" spans="1:6">
      <c r="A27" s="14" t="s">
        <v>94</v>
      </c>
      <c r="B27" s="14" t="s">
        <v>13</v>
      </c>
      <c r="C27" s="14" t="s">
        <v>69</v>
      </c>
      <c r="E27" s="14" t="s">
        <v>62</v>
      </c>
      <c r="F27" s="14" t="s">
        <v>52</v>
      </c>
    </row>
    <row r="28" spans="1:6">
      <c r="A28" s="14" t="s">
        <v>106</v>
      </c>
      <c r="B28" s="14" t="s">
        <v>14</v>
      </c>
      <c r="C28" s="14" t="s">
        <v>69</v>
      </c>
      <c r="E28" s="14" t="s">
        <v>63</v>
      </c>
      <c r="F28" s="14" t="s">
        <v>45</v>
      </c>
    </row>
    <row r="29" spans="1:6">
      <c r="A29" s="14" t="s">
        <v>100</v>
      </c>
      <c r="B29" s="14" t="s">
        <v>15</v>
      </c>
      <c r="C29" s="14" t="s">
        <v>69</v>
      </c>
      <c r="E29" s="14" t="s">
        <v>63</v>
      </c>
      <c r="F29" s="14" t="s">
        <v>47</v>
      </c>
    </row>
    <row r="30" spans="1:6">
      <c r="A30" s="14" t="s">
        <v>98</v>
      </c>
      <c r="B30" s="14" t="s">
        <v>54</v>
      </c>
      <c r="C30" s="14" t="s">
        <v>69</v>
      </c>
      <c r="E30" s="14" t="s">
        <v>65</v>
      </c>
      <c r="F30" s="14" t="s">
        <v>49</v>
      </c>
    </row>
    <row r="31" spans="1:6">
      <c r="A31" s="14" t="s">
        <v>82</v>
      </c>
      <c r="B31" s="14" t="s">
        <v>55</v>
      </c>
      <c r="C31" s="14" t="s">
        <v>67</v>
      </c>
      <c r="E31" s="14" t="s">
        <v>65</v>
      </c>
      <c r="F31" s="14" t="s">
        <v>50</v>
      </c>
    </row>
    <row r="32" spans="1:6">
      <c r="A32" s="14" t="s">
        <v>95</v>
      </c>
      <c r="B32" s="14" t="s">
        <v>56</v>
      </c>
      <c r="C32" s="14" t="s">
        <v>67</v>
      </c>
      <c r="E32" s="14" t="s">
        <v>62</v>
      </c>
      <c r="F32" s="14" t="s">
        <v>51</v>
      </c>
    </row>
    <row r="33" spans="1:6">
      <c r="A33" s="14" t="s">
        <v>80</v>
      </c>
      <c r="B33" s="14" t="s">
        <v>57</v>
      </c>
      <c r="C33" s="14" t="s">
        <v>68</v>
      </c>
      <c r="E33" s="14" t="s">
        <v>62</v>
      </c>
      <c r="F33" s="14" t="s">
        <v>52</v>
      </c>
    </row>
  </sheetData>
  <sortState xmlns:xlrd2="http://schemas.microsoft.com/office/spreadsheetml/2017/richdata2" ref="A4:A33">
    <sortCondition ref="A4:A33"/>
  </sortState>
  <phoneticPr fontId="4" type="noConversion"/>
  <pageMargins left="0.75" right="0.75" top="1" bottom="1" header="0.5" footer="0.5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B551D-8184-4C4D-A253-CC4E1EFE624E}">
  <dimension ref="B2:J8"/>
  <sheetViews>
    <sheetView workbookViewId="0">
      <selection activeCell="B3" sqref="B3"/>
    </sheetView>
  </sheetViews>
  <sheetFormatPr defaultRowHeight="15.75"/>
  <cols>
    <col min="1" max="1" width="3.375" style="1" customWidth="1"/>
    <col min="2" max="2" width="9" style="1"/>
    <col min="3" max="4" width="9.125" style="1" bestFit="1" customWidth="1"/>
    <col min="5" max="6" width="15.625" style="1" bestFit="1" customWidth="1"/>
    <col min="7" max="7" width="9" style="1"/>
    <col min="8" max="8" width="21.5" style="1" customWidth="1"/>
    <col min="9" max="9" width="11.25" style="1" customWidth="1"/>
    <col min="10" max="16384" width="9" style="1"/>
  </cols>
  <sheetData>
    <row r="2" spans="2:10" ht="16.5">
      <c r="B2" s="7" t="s">
        <v>39</v>
      </c>
      <c r="C2" s="8" t="s">
        <v>40</v>
      </c>
      <c r="D2" s="8" t="s">
        <v>41</v>
      </c>
      <c r="E2" s="8" t="s">
        <v>42</v>
      </c>
      <c r="F2" s="8" t="s">
        <v>43</v>
      </c>
      <c r="H2" s="1" t="s">
        <v>44</v>
      </c>
      <c r="J2" s="9"/>
    </row>
    <row r="3" spans="2:10">
      <c r="B3" s="10" t="s">
        <v>45</v>
      </c>
      <c r="C3" s="10">
        <v>54</v>
      </c>
      <c r="D3" s="10">
        <v>405</v>
      </c>
      <c r="E3" s="11">
        <v>972000</v>
      </c>
      <c r="F3" s="11">
        <v>1458000</v>
      </c>
      <c r="H3" s="1" t="s">
        <v>46</v>
      </c>
      <c r="J3" s="9"/>
    </row>
    <row r="4" spans="2:10">
      <c r="B4" s="12" t="s">
        <v>47</v>
      </c>
      <c r="C4" s="12">
        <v>63</v>
      </c>
      <c r="D4" s="12">
        <v>567</v>
      </c>
      <c r="E4" s="13">
        <v>1247400</v>
      </c>
      <c r="F4" s="13">
        <v>2245320</v>
      </c>
      <c r="H4" s="1" t="s">
        <v>48</v>
      </c>
      <c r="J4" s="9"/>
    </row>
    <row r="5" spans="2:10">
      <c r="B5" s="10" t="s">
        <v>49</v>
      </c>
      <c r="C5" s="10">
        <v>42</v>
      </c>
      <c r="D5" s="10">
        <v>252</v>
      </c>
      <c r="E5" s="11">
        <v>504000</v>
      </c>
      <c r="F5" s="11">
        <v>604800</v>
      </c>
    </row>
    <row r="6" spans="2:10">
      <c r="B6" s="12" t="s">
        <v>50</v>
      </c>
      <c r="C6" s="12">
        <v>65</v>
      </c>
      <c r="D6" s="12">
        <v>390</v>
      </c>
      <c r="E6" s="13">
        <v>897000</v>
      </c>
      <c r="F6" s="13">
        <v>1435200</v>
      </c>
    </row>
    <row r="7" spans="2:10">
      <c r="B7" s="10" t="s">
        <v>51</v>
      </c>
      <c r="C7" s="10">
        <v>37</v>
      </c>
      <c r="D7" s="10">
        <v>185</v>
      </c>
      <c r="E7" s="11">
        <v>296000</v>
      </c>
      <c r="F7" s="11">
        <v>355200</v>
      </c>
    </row>
    <row r="8" spans="2:10">
      <c r="B8" s="12" t="s">
        <v>52</v>
      </c>
      <c r="C8" s="12">
        <v>46</v>
      </c>
      <c r="D8" s="12">
        <v>276</v>
      </c>
      <c r="E8" s="13">
        <v>524000</v>
      </c>
      <c r="F8" s="13">
        <v>681720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5478-9673-49C0-A0C8-C1A952F26DE9}">
  <dimension ref="A1:B50"/>
  <sheetViews>
    <sheetView workbookViewId="0"/>
  </sheetViews>
  <sheetFormatPr defaultRowHeight="15"/>
  <cols>
    <col min="1" max="2" width="11.25" style="25" bestFit="1" customWidth="1"/>
    <col min="3" max="16384" width="9" style="25"/>
  </cols>
  <sheetData>
    <row r="1" spans="1:2" ht="18.75">
      <c r="A1" s="39" t="s">
        <v>141</v>
      </c>
    </row>
    <row r="2" spans="1:2" ht="16.5">
      <c r="A2" s="40" t="s">
        <v>421</v>
      </c>
    </row>
    <row r="3" spans="1:2">
      <c r="A3" s="35" t="s">
        <v>226</v>
      </c>
      <c r="B3" s="38" t="s">
        <v>420</v>
      </c>
    </row>
    <row r="4" spans="1:2">
      <c r="A4" s="43">
        <v>350</v>
      </c>
      <c r="B4" s="44">
        <v>13</v>
      </c>
    </row>
    <row r="5" spans="1:2">
      <c r="A5" s="43">
        <v>525</v>
      </c>
      <c r="B5" s="44">
        <v>5</v>
      </c>
    </row>
    <row r="6" spans="1:2">
      <c r="A6" s="43">
        <v>600</v>
      </c>
      <c r="B6" s="44">
        <v>9</v>
      </c>
    </row>
    <row r="7" spans="1:2">
      <c r="A7" s="43">
        <v>700</v>
      </c>
      <c r="B7" s="44">
        <v>16</v>
      </c>
    </row>
    <row r="8" spans="1:2">
      <c r="A8" s="43">
        <v>900</v>
      </c>
      <c r="B8" s="44">
        <v>8</v>
      </c>
    </row>
    <row r="9" spans="1:2">
      <c r="A9" s="43">
        <v>1050</v>
      </c>
      <c r="B9" s="44">
        <v>9</v>
      </c>
    </row>
    <row r="10" spans="1:2">
      <c r="A10" s="43">
        <v>1200</v>
      </c>
      <c r="B10" s="44">
        <v>8</v>
      </c>
    </row>
    <row r="11" spans="1:2">
      <c r="A11" s="43">
        <v>1400</v>
      </c>
      <c r="B11" s="44">
        <v>6</v>
      </c>
    </row>
    <row r="12" spans="1:2">
      <c r="A12" s="43">
        <v>1575</v>
      </c>
      <c r="B12" s="44">
        <v>4</v>
      </c>
    </row>
    <row r="13" spans="1:2">
      <c r="A13" s="43">
        <v>1750</v>
      </c>
      <c r="B13" s="44">
        <v>4</v>
      </c>
    </row>
    <row r="14" spans="1:2">
      <c r="A14" s="43">
        <v>2100</v>
      </c>
      <c r="B14" s="44">
        <v>5</v>
      </c>
    </row>
    <row r="15" spans="1:2">
      <c r="A15" s="43">
        <v>2275</v>
      </c>
      <c r="B15" s="44">
        <v>1</v>
      </c>
    </row>
    <row r="16" spans="1:2">
      <c r="A16" s="43">
        <v>2400</v>
      </c>
      <c r="B16" s="44">
        <v>4</v>
      </c>
    </row>
    <row r="17" spans="1:2">
      <c r="A17" s="43">
        <v>2450</v>
      </c>
      <c r="B17" s="44">
        <v>6</v>
      </c>
    </row>
    <row r="18" spans="1:2">
      <c r="A18" s="43">
        <v>2500</v>
      </c>
      <c r="B18" s="44">
        <v>2</v>
      </c>
    </row>
    <row r="19" spans="1:2">
      <c r="A19" s="43">
        <v>2700</v>
      </c>
      <c r="B19" s="44">
        <v>1</v>
      </c>
    </row>
    <row r="20" spans="1:2">
      <c r="A20" s="43">
        <v>2975</v>
      </c>
      <c r="B20" s="44">
        <v>9</v>
      </c>
    </row>
    <row r="21" spans="1:2">
      <c r="A21" s="43">
        <v>3000</v>
      </c>
      <c r="B21" s="44">
        <v>2</v>
      </c>
    </row>
    <row r="22" spans="1:2">
      <c r="A22" s="43">
        <v>3150</v>
      </c>
      <c r="B22" s="44">
        <v>2</v>
      </c>
    </row>
    <row r="23" spans="1:2">
      <c r="A23" s="43">
        <v>3325</v>
      </c>
      <c r="B23" s="44">
        <v>2</v>
      </c>
    </row>
    <row r="24" spans="1:2">
      <c r="A24" s="43">
        <v>3825</v>
      </c>
      <c r="B24" s="44">
        <v>1</v>
      </c>
    </row>
    <row r="25" spans="1:2">
      <c r="A25" s="43">
        <v>3900</v>
      </c>
      <c r="B25" s="44">
        <v>2</v>
      </c>
    </row>
    <row r="26" spans="1:2">
      <c r="A26" s="43">
        <v>4200</v>
      </c>
      <c r="B26" s="44">
        <v>8</v>
      </c>
    </row>
    <row r="27" spans="1:2">
      <c r="A27" s="43">
        <v>4250</v>
      </c>
      <c r="B27" s="44">
        <v>2</v>
      </c>
    </row>
    <row r="28" spans="1:2">
      <c r="A28" s="43">
        <v>4675</v>
      </c>
      <c r="B28" s="44">
        <v>3</v>
      </c>
    </row>
    <row r="29" spans="1:2">
      <c r="A29" s="43">
        <v>4725</v>
      </c>
      <c r="B29" s="44">
        <v>1</v>
      </c>
    </row>
    <row r="30" spans="1:2">
      <c r="A30" s="43">
        <v>5100</v>
      </c>
      <c r="B30" s="44">
        <v>3</v>
      </c>
    </row>
    <row r="31" spans="1:2">
      <c r="A31" s="43">
        <v>5250</v>
      </c>
      <c r="B31" s="44">
        <v>1</v>
      </c>
    </row>
    <row r="32" spans="1:2">
      <c r="A32" s="43">
        <v>5400</v>
      </c>
      <c r="B32" s="44">
        <v>1</v>
      </c>
    </row>
    <row r="33" spans="1:2">
      <c r="A33" s="43">
        <v>5700</v>
      </c>
      <c r="B33" s="44">
        <v>4</v>
      </c>
    </row>
    <row r="34" spans="1:2">
      <c r="A34" s="43">
        <v>5950</v>
      </c>
      <c r="B34" s="44">
        <v>7</v>
      </c>
    </row>
    <row r="35" spans="1:2">
      <c r="A35" s="43">
        <v>6250</v>
      </c>
      <c r="B35" s="44">
        <v>2</v>
      </c>
    </row>
    <row r="36" spans="1:2">
      <c r="A36" s="43">
        <v>7350</v>
      </c>
      <c r="B36" s="44">
        <v>3</v>
      </c>
    </row>
    <row r="37" spans="1:2">
      <c r="A37" s="43">
        <v>8925</v>
      </c>
      <c r="B37" s="44">
        <v>1</v>
      </c>
    </row>
    <row r="38" spans="1:2">
      <c r="A38" s="43">
        <v>10625</v>
      </c>
      <c r="B38" s="44">
        <v>4</v>
      </c>
    </row>
    <row r="39" spans="1:2">
      <c r="A39" s="43">
        <v>1700</v>
      </c>
      <c r="B39" s="44">
        <v>6</v>
      </c>
    </row>
    <row r="40" spans="1:2">
      <c r="A40" s="43">
        <v>5625</v>
      </c>
      <c r="B40" s="44">
        <v>2</v>
      </c>
    </row>
    <row r="41" spans="1:2">
      <c r="A41" s="43">
        <v>8075</v>
      </c>
      <c r="B41" s="44">
        <v>1</v>
      </c>
    </row>
    <row r="42" spans="1:2">
      <c r="A42" s="43">
        <v>1250</v>
      </c>
      <c r="B42" s="44">
        <v>3</v>
      </c>
    </row>
    <row r="43" spans="1:2">
      <c r="A43" s="43">
        <v>5525</v>
      </c>
      <c r="B43" s="44">
        <v>2</v>
      </c>
    </row>
    <row r="44" spans="1:2">
      <c r="A44" s="43">
        <v>5000</v>
      </c>
      <c r="B44" s="44">
        <v>1</v>
      </c>
    </row>
    <row r="45" spans="1:2">
      <c r="A45" s="43">
        <v>1275</v>
      </c>
      <c r="B45" s="44">
        <v>3</v>
      </c>
    </row>
    <row r="46" spans="1:2">
      <c r="A46" s="43">
        <v>850</v>
      </c>
      <c r="B46" s="44">
        <v>10</v>
      </c>
    </row>
    <row r="47" spans="1:2">
      <c r="A47" s="43">
        <v>7650</v>
      </c>
      <c r="B47" s="44">
        <v>3</v>
      </c>
    </row>
    <row r="48" spans="1:2">
      <c r="A48" s="43">
        <v>8125</v>
      </c>
      <c r="B48" s="44">
        <v>1</v>
      </c>
    </row>
    <row r="49" spans="1:2">
      <c r="A49" s="43">
        <v>8750</v>
      </c>
      <c r="B49" s="44">
        <v>1</v>
      </c>
    </row>
    <row r="50" spans="1:2">
      <c r="A50" s="36" t="s">
        <v>225</v>
      </c>
      <c r="B50" s="37">
        <v>192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458E6-9BCC-4F4F-9A8E-452DC010EE1F}">
  <dimension ref="B1:G195"/>
  <sheetViews>
    <sheetView workbookViewId="0">
      <selection activeCell="B1" sqref="B1"/>
    </sheetView>
  </sheetViews>
  <sheetFormatPr defaultRowHeight="16.5"/>
  <cols>
    <col min="1" max="1" width="4" style="30" customWidth="1"/>
    <col min="2" max="2" width="10.25" style="30" customWidth="1"/>
    <col min="3" max="3" width="12.5" style="30" bestFit="1" customWidth="1"/>
    <col min="4" max="4" width="10.25" style="30" customWidth="1"/>
    <col min="6" max="7" width="9" style="30"/>
    <col min="8" max="8" width="11.125" style="30" bestFit="1" customWidth="1"/>
    <col min="9" max="16384" width="9" style="30"/>
  </cols>
  <sheetData>
    <row r="1" spans="2:7" ht="18.75">
      <c r="B1" s="31" t="s">
        <v>141</v>
      </c>
      <c r="C1" s="31"/>
      <c r="E1" s="30"/>
    </row>
    <row r="2" spans="2:7">
      <c r="B2" s="32" t="s">
        <v>142</v>
      </c>
      <c r="C2" s="32"/>
      <c r="E2" s="30"/>
    </row>
    <row r="3" spans="2:7" ht="15.75">
      <c r="B3" s="34" t="s">
        <v>227</v>
      </c>
      <c r="C3" s="34" t="s">
        <v>143</v>
      </c>
      <c r="D3" s="34" t="s">
        <v>144</v>
      </c>
      <c r="E3" s="34" t="s">
        <v>145</v>
      </c>
      <c r="F3" s="34" t="s">
        <v>146</v>
      </c>
      <c r="G3" s="34" t="s">
        <v>147</v>
      </c>
    </row>
    <row r="4" spans="2:7" ht="15">
      <c r="B4" s="33" t="s">
        <v>228</v>
      </c>
      <c r="C4" s="30" t="s">
        <v>148</v>
      </c>
      <c r="D4" s="33" t="s">
        <v>110</v>
      </c>
      <c r="E4" s="30">
        <v>60</v>
      </c>
      <c r="F4" s="30">
        <v>50</v>
      </c>
      <c r="G4" s="30">
        <f>E4*F4</f>
        <v>3000</v>
      </c>
    </row>
    <row r="5" spans="2:7" ht="15">
      <c r="B5" s="33" t="s">
        <v>229</v>
      </c>
      <c r="C5" s="30" t="s">
        <v>149</v>
      </c>
      <c r="D5" s="33" t="s">
        <v>111</v>
      </c>
      <c r="E5" s="30">
        <v>105</v>
      </c>
      <c r="F5" s="30">
        <v>10</v>
      </c>
      <c r="G5" s="30">
        <f t="shared" ref="G5:G68" si="0">E5*F5</f>
        <v>1050</v>
      </c>
    </row>
    <row r="6" spans="2:7" ht="15">
      <c r="B6" s="33" t="s">
        <v>230</v>
      </c>
      <c r="C6" s="30" t="s">
        <v>149</v>
      </c>
      <c r="D6" s="33" t="s">
        <v>112</v>
      </c>
      <c r="E6" s="30">
        <v>85</v>
      </c>
      <c r="F6" s="30">
        <v>20</v>
      </c>
      <c r="G6" s="30">
        <f t="shared" si="0"/>
        <v>1700</v>
      </c>
    </row>
    <row r="7" spans="2:7" ht="15">
      <c r="B7" s="33" t="s">
        <v>231</v>
      </c>
      <c r="C7" s="30" t="s">
        <v>149</v>
      </c>
      <c r="D7" s="33" t="s">
        <v>113</v>
      </c>
      <c r="E7" s="30">
        <v>125</v>
      </c>
      <c r="F7" s="30">
        <v>45</v>
      </c>
      <c r="G7" s="30">
        <f t="shared" si="0"/>
        <v>5625</v>
      </c>
    </row>
    <row r="8" spans="2:7" ht="15">
      <c r="B8" s="33" t="s">
        <v>232</v>
      </c>
      <c r="C8" s="30" t="s">
        <v>150</v>
      </c>
      <c r="D8" s="33" t="s">
        <v>114</v>
      </c>
      <c r="E8" s="30">
        <v>35</v>
      </c>
      <c r="F8" s="30">
        <v>50</v>
      </c>
      <c r="G8" s="30">
        <f t="shared" si="0"/>
        <v>1750</v>
      </c>
    </row>
    <row r="9" spans="2:7" ht="15">
      <c r="B9" s="33" t="s">
        <v>233</v>
      </c>
      <c r="C9" s="30" t="s">
        <v>150</v>
      </c>
      <c r="D9" s="33" t="s">
        <v>110</v>
      </c>
      <c r="E9" s="30">
        <v>60</v>
      </c>
      <c r="F9" s="30">
        <v>70</v>
      </c>
      <c r="G9" s="30">
        <f t="shared" si="0"/>
        <v>4200</v>
      </c>
    </row>
    <row r="10" spans="2:7" ht="15">
      <c r="B10" s="33" t="s">
        <v>234</v>
      </c>
      <c r="C10" s="30" t="s">
        <v>150</v>
      </c>
      <c r="D10" s="33" t="s">
        <v>111</v>
      </c>
      <c r="E10" s="30">
        <v>105</v>
      </c>
      <c r="F10" s="30">
        <v>20</v>
      </c>
      <c r="G10" s="30">
        <f t="shared" si="0"/>
        <v>2100</v>
      </c>
    </row>
    <row r="11" spans="2:7" ht="15">
      <c r="B11" s="33" t="s">
        <v>235</v>
      </c>
      <c r="C11" s="30" t="s">
        <v>150</v>
      </c>
      <c r="D11" s="33" t="s">
        <v>112</v>
      </c>
      <c r="E11" s="30">
        <v>85</v>
      </c>
      <c r="F11" s="30">
        <v>95</v>
      </c>
      <c r="G11" s="30">
        <f t="shared" si="0"/>
        <v>8075</v>
      </c>
    </row>
    <row r="12" spans="2:7" ht="15">
      <c r="B12" s="33" t="s">
        <v>236</v>
      </c>
      <c r="C12" s="30" t="s">
        <v>151</v>
      </c>
      <c r="D12" s="33" t="s">
        <v>113</v>
      </c>
      <c r="E12" s="30">
        <v>125</v>
      </c>
      <c r="F12" s="30">
        <v>45</v>
      </c>
      <c r="G12" s="30">
        <f t="shared" si="0"/>
        <v>5625</v>
      </c>
    </row>
    <row r="13" spans="2:7" ht="15">
      <c r="B13" s="33" t="s">
        <v>237</v>
      </c>
      <c r="C13" s="30" t="s">
        <v>151</v>
      </c>
      <c r="D13" s="33" t="s">
        <v>114</v>
      </c>
      <c r="E13" s="30">
        <v>35</v>
      </c>
      <c r="F13" s="30">
        <v>20</v>
      </c>
      <c r="G13" s="30">
        <f t="shared" si="0"/>
        <v>700</v>
      </c>
    </row>
    <row r="14" spans="2:7" ht="15">
      <c r="B14" s="33" t="s">
        <v>238</v>
      </c>
      <c r="C14" s="30" t="s">
        <v>151</v>
      </c>
      <c r="D14" s="33" t="s">
        <v>110</v>
      </c>
      <c r="E14" s="30">
        <v>60</v>
      </c>
      <c r="F14" s="30">
        <v>20</v>
      </c>
      <c r="G14" s="30">
        <f t="shared" si="0"/>
        <v>1200</v>
      </c>
    </row>
    <row r="15" spans="2:7" ht="15">
      <c r="B15" s="33" t="s">
        <v>239</v>
      </c>
      <c r="C15" s="30" t="s">
        <v>152</v>
      </c>
      <c r="D15" s="33" t="s">
        <v>111</v>
      </c>
      <c r="E15" s="30">
        <v>105</v>
      </c>
      <c r="F15" s="30">
        <v>10</v>
      </c>
      <c r="G15" s="30">
        <f t="shared" si="0"/>
        <v>1050</v>
      </c>
    </row>
    <row r="16" spans="2:7" ht="15">
      <c r="B16" s="33" t="s">
        <v>240</v>
      </c>
      <c r="C16" s="30" t="s">
        <v>152</v>
      </c>
      <c r="D16" s="33" t="s">
        <v>112</v>
      </c>
      <c r="E16" s="30">
        <v>85</v>
      </c>
      <c r="F16" s="30">
        <v>20</v>
      </c>
      <c r="G16" s="30">
        <f t="shared" si="0"/>
        <v>1700</v>
      </c>
    </row>
    <row r="17" spans="2:7" ht="15">
      <c r="B17" s="33" t="s">
        <v>241</v>
      </c>
      <c r="C17" s="30" t="s">
        <v>152</v>
      </c>
      <c r="D17" s="33" t="s">
        <v>113</v>
      </c>
      <c r="E17" s="30">
        <v>125</v>
      </c>
      <c r="F17" s="30">
        <v>10</v>
      </c>
      <c r="G17" s="30">
        <f t="shared" si="0"/>
        <v>1250</v>
      </c>
    </row>
    <row r="18" spans="2:7" ht="15">
      <c r="B18" s="33" t="s">
        <v>242</v>
      </c>
      <c r="C18" s="30" t="s">
        <v>152</v>
      </c>
      <c r="D18" s="33" t="s">
        <v>114</v>
      </c>
      <c r="E18" s="30">
        <v>35</v>
      </c>
      <c r="F18" s="30">
        <v>45</v>
      </c>
      <c r="G18" s="30">
        <f t="shared" si="0"/>
        <v>1575</v>
      </c>
    </row>
    <row r="19" spans="2:7" ht="15">
      <c r="B19" s="33" t="s">
        <v>243</v>
      </c>
      <c r="C19" s="30" t="s">
        <v>153</v>
      </c>
      <c r="D19" s="33" t="s">
        <v>110</v>
      </c>
      <c r="E19" s="30">
        <v>60</v>
      </c>
      <c r="F19" s="30">
        <v>15</v>
      </c>
      <c r="G19" s="30">
        <f t="shared" si="0"/>
        <v>900</v>
      </c>
    </row>
    <row r="20" spans="2:7" ht="15">
      <c r="B20" s="33" t="s">
        <v>244</v>
      </c>
      <c r="C20" s="30" t="s">
        <v>154</v>
      </c>
      <c r="D20" s="33" t="s">
        <v>111</v>
      </c>
      <c r="E20" s="30">
        <v>105</v>
      </c>
      <c r="F20" s="30">
        <v>20</v>
      </c>
      <c r="G20" s="30">
        <f t="shared" si="0"/>
        <v>2100</v>
      </c>
    </row>
    <row r="21" spans="2:7" ht="15">
      <c r="B21" s="33" t="s">
        <v>245</v>
      </c>
      <c r="C21" s="30" t="s">
        <v>154</v>
      </c>
      <c r="D21" s="33" t="s">
        <v>112</v>
      </c>
      <c r="E21" s="30">
        <v>85</v>
      </c>
      <c r="F21" s="30">
        <v>70</v>
      </c>
      <c r="G21" s="30">
        <f t="shared" si="0"/>
        <v>5950</v>
      </c>
    </row>
    <row r="22" spans="2:7" ht="15">
      <c r="B22" s="33" t="s">
        <v>246</v>
      </c>
      <c r="C22" s="30" t="s">
        <v>154</v>
      </c>
      <c r="D22" s="33" t="s">
        <v>113</v>
      </c>
      <c r="E22" s="30">
        <v>125</v>
      </c>
      <c r="F22" s="30">
        <v>10</v>
      </c>
      <c r="G22" s="30">
        <f t="shared" si="0"/>
        <v>1250</v>
      </c>
    </row>
    <row r="23" spans="2:7" ht="15">
      <c r="B23" s="33" t="s">
        <v>247</v>
      </c>
      <c r="C23" s="30" t="s">
        <v>155</v>
      </c>
      <c r="D23" s="33" t="s">
        <v>114</v>
      </c>
      <c r="E23" s="30">
        <v>35</v>
      </c>
      <c r="F23" s="30">
        <v>10</v>
      </c>
      <c r="G23" s="30">
        <f t="shared" si="0"/>
        <v>350</v>
      </c>
    </row>
    <row r="24" spans="2:7" ht="15">
      <c r="B24" s="33" t="s">
        <v>248</v>
      </c>
      <c r="C24" s="30" t="s">
        <v>155</v>
      </c>
      <c r="D24" s="33" t="s">
        <v>110</v>
      </c>
      <c r="E24" s="30">
        <v>60</v>
      </c>
      <c r="F24" s="30">
        <v>20</v>
      </c>
      <c r="G24" s="30">
        <f t="shared" si="0"/>
        <v>1200</v>
      </c>
    </row>
    <row r="25" spans="2:7" ht="15">
      <c r="B25" s="33" t="s">
        <v>249</v>
      </c>
      <c r="C25" s="30" t="s">
        <v>155</v>
      </c>
      <c r="D25" s="33" t="s">
        <v>111</v>
      </c>
      <c r="E25" s="30">
        <v>105</v>
      </c>
      <c r="F25" s="30">
        <v>40</v>
      </c>
      <c r="G25" s="30">
        <f t="shared" si="0"/>
        <v>4200</v>
      </c>
    </row>
    <row r="26" spans="2:7" ht="15">
      <c r="B26" s="33" t="s">
        <v>250</v>
      </c>
      <c r="C26" s="30" t="s">
        <v>155</v>
      </c>
      <c r="D26" s="33" t="s">
        <v>112</v>
      </c>
      <c r="E26" s="30">
        <v>85</v>
      </c>
      <c r="F26" s="30">
        <v>65</v>
      </c>
      <c r="G26" s="30">
        <f t="shared" si="0"/>
        <v>5525</v>
      </c>
    </row>
    <row r="27" spans="2:7" ht="15">
      <c r="B27" s="33" t="s">
        <v>251</v>
      </c>
      <c r="C27" s="30" t="s">
        <v>156</v>
      </c>
      <c r="D27" s="33" t="s">
        <v>113</v>
      </c>
      <c r="E27" s="30">
        <v>125</v>
      </c>
      <c r="F27" s="30">
        <v>40</v>
      </c>
      <c r="G27" s="30">
        <f t="shared" si="0"/>
        <v>5000</v>
      </c>
    </row>
    <row r="28" spans="2:7" ht="15">
      <c r="B28" s="33" t="s">
        <v>252</v>
      </c>
      <c r="C28" s="30" t="s">
        <v>156</v>
      </c>
      <c r="D28" s="33" t="s">
        <v>114</v>
      </c>
      <c r="E28" s="30">
        <v>35</v>
      </c>
      <c r="F28" s="30">
        <v>90</v>
      </c>
      <c r="G28" s="30">
        <f t="shared" si="0"/>
        <v>3150</v>
      </c>
    </row>
    <row r="29" spans="2:7" ht="15">
      <c r="B29" s="33" t="s">
        <v>253</v>
      </c>
      <c r="C29" s="30" t="s">
        <v>157</v>
      </c>
      <c r="D29" s="33" t="s">
        <v>110</v>
      </c>
      <c r="E29" s="30">
        <v>60</v>
      </c>
      <c r="F29" s="30">
        <v>10</v>
      </c>
      <c r="G29" s="30">
        <f t="shared" si="0"/>
        <v>600</v>
      </c>
    </row>
    <row r="30" spans="2:7" ht="15">
      <c r="B30" s="33" t="s">
        <v>254</v>
      </c>
      <c r="C30" s="30" t="s">
        <v>157</v>
      </c>
      <c r="D30" s="33" t="s">
        <v>111</v>
      </c>
      <c r="E30" s="30">
        <v>105</v>
      </c>
      <c r="F30" s="30">
        <v>40</v>
      </c>
      <c r="G30" s="30">
        <f t="shared" si="0"/>
        <v>4200</v>
      </c>
    </row>
    <row r="31" spans="2:7" ht="15">
      <c r="B31" s="33" t="s">
        <v>255</v>
      </c>
      <c r="C31" s="30" t="s">
        <v>157</v>
      </c>
      <c r="D31" s="33" t="s">
        <v>112</v>
      </c>
      <c r="E31" s="30">
        <v>85</v>
      </c>
      <c r="F31" s="30">
        <v>15</v>
      </c>
      <c r="G31" s="30">
        <f t="shared" si="0"/>
        <v>1275</v>
      </c>
    </row>
    <row r="32" spans="2:7" ht="15">
      <c r="B32" s="33" t="s">
        <v>256</v>
      </c>
      <c r="C32" s="30" t="s">
        <v>157</v>
      </c>
      <c r="D32" s="33" t="s">
        <v>113</v>
      </c>
      <c r="E32" s="30">
        <v>125</v>
      </c>
      <c r="F32" s="30">
        <v>85</v>
      </c>
      <c r="G32" s="30">
        <f t="shared" si="0"/>
        <v>10625</v>
      </c>
    </row>
    <row r="33" spans="2:7" ht="15">
      <c r="B33" s="33" t="s">
        <v>257</v>
      </c>
      <c r="C33" s="30" t="s">
        <v>157</v>
      </c>
      <c r="D33" s="33" t="s">
        <v>114</v>
      </c>
      <c r="E33" s="30">
        <v>35</v>
      </c>
      <c r="F33" s="30">
        <v>95</v>
      </c>
      <c r="G33" s="30">
        <f t="shared" si="0"/>
        <v>3325</v>
      </c>
    </row>
    <row r="34" spans="2:7" ht="15">
      <c r="B34" s="33" t="s">
        <v>258</v>
      </c>
      <c r="C34" s="30" t="s">
        <v>158</v>
      </c>
      <c r="D34" s="33" t="s">
        <v>110</v>
      </c>
      <c r="E34" s="30">
        <v>60</v>
      </c>
      <c r="F34" s="30">
        <v>15</v>
      </c>
      <c r="G34" s="30">
        <f t="shared" si="0"/>
        <v>900</v>
      </c>
    </row>
    <row r="35" spans="2:7" ht="15">
      <c r="B35" s="33" t="s">
        <v>259</v>
      </c>
      <c r="C35" s="30" t="s">
        <v>159</v>
      </c>
      <c r="D35" s="33" t="s">
        <v>110</v>
      </c>
      <c r="E35" s="30">
        <v>60</v>
      </c>
      <c r="F35" s="30">
        <v>10</v>
      </c>
      <c r="G35" s="30">
        <f t="shared" si="0"/>
        <v>600</v>
      </c>
    </row>
    <row r="36" spans="2:7" ht="15">
      <c r="B36" s="33" t="s">
        <v>260</v>
      </c>
      <c r="C36" s="30" t="s">
        <v>159</v>
      </c>
      <c r="D36" s="33" t="s">
        <v>110</v>
      </c>
      <c r="E36" s="30">
        <v>60</v>
      </c>
      <c r="F36" s="30">
        <v>40</v>
      </c>
      <c r="G36" s="30">
        <f t="shared" si="0"/>
        <v>2400</v>
      </c>
    </row>
    <row r="37" spans="2:7" ht="15">
      <c r="B37" s="33" t="s">
        <v>261</v>
      </c>
      <c r="C37" s="30" t="s">
        <v>160</v>
      </c>
      <c r="D37" s="33" t="s">
        <v>110</v>
      </c>
      <c r="E37" s="30">
        <v>60</v>
      </c>
      <c r="F37" s="30">
        <v>50</v>
      </c>
      <c r="G37" s="30">
        <f t="shared" si="0"/>
        <v>3000</v>
      </c>
    </row>
    <row r="38" spans="2:7" ht="15">
      <c r="B38" s="33" t="s">
        <v>262</v>
      </c>
      <c r="C38" s="30" t="s">
        <v>160</v>
      </c>
      <c r="D38" s="33" t="s">
        <v>110</v>
      </c>
      <c r="E38" s="30">
        <v>60</v>
      </c>
      <c r="F38" s="30">
        <v>70</v>
      </c>
      <c r="G38" s="30">
        <f t="shared" si="0"/>
        <v>4200</v>
      </c>
    </row>
    <row r="39" spans="2:7" ht="15">
      <c r="B39" s="33" t="s">
        <v>263</v>
      </c>
      <c r="C39" s="30" t="s">
        <v>160</v>
      </c>
      <c r="D39" s="33" t="s">
        <v>110</v>
      </c>
      <c r="E39" s="30">
        <v>60</v>
      </c>
      <c r="F39" s="30">
        <v>20</v>
      </c>
      <c r="G39" s="30">
        <f t="shared" si="0"/>
        <v>1200</v>
      </c>
    </row>
    <row r="40" spans="2:7" ht="15">
      <c r="B40" s="33" t="s">
        <v>264</v>
      </c>
      <c r="C40" s="30" t="s">
        <v>160</v>
      </c>
      <c r="D40" s="33" t="s">
        <v>110</v>
      </c>
      <c r="E40" s="30">
        <v>60</v>
      </c>
      <c r="F40" s="30">
        <v>10</v>
      </c>
      <c r="G40" s="30">
        <f t="shared" si="0"/>
        <v>600</v>
      </c>
    </row>
    <row r="41" spans="2:7" ht="15">
      <c r="B41" s="33" t="s">
        <v>265</v>
      </c>
      <c r="C41" s="30" t="s">
        <v>160</v>
      </c>
      <c r="D41" s="33" t="s">
        <v>110</v>
      </c>
      <c r="E41" s="30">
        <v>60</v>
      </c>
      <c r="F41" s="30">
        <v>65</v>
      </c>
      <c r="G41" s="30">
        <f t="shared" si="0"/>
        <v>3900</v>
      </c>
    </row>
    <row r="42" spans="2:7" ht="15">
      <c r="B42" s="33" t="s">
        <v>266</v>
      </c>
      <c r="C42" s="30" t="s">
        <v>161</v>
      </c>
      <c r="D42" s="33" t="s">
        <v>112</v>
      </c>
      <c r="E42" s="30">
        <v>85</v>
      </c>
      <c r="F42" s="30">
        <v>70</v>
      </c>
      <c r="G42" s="30">
        <f t="shared" si="0"/>
        <v>5950</v>
      </c>
    </row>
    <row r="43" spans="2:7" ht="15">
      <c r="B43" s="33" t="s">
        <v>267</v>
      </c>
      <c r="C43" s="30" t="s">
        <v>161</v>
      </c>
      <c r="D43" s="33" t="s">
        <v>112</v>
      </c>
      <c r="E43" s="30">
        <v>85</v>
      </c>
      <c r="F43" s="30">
        <v>10</v>
      </c>
      <c r="G43" s="30">
        <f t="shared" si="0"/>
        <v>850</v>
      </c>
    </row>
    <row r="44" spans="2:7" ht="15">
      <c r="B44" s="33" t="s">
        <v>268</v>
      </c>
      <c r="C44" s="30" t="s">
        <v>162</v>
      </c>
      <c r="D44" s="33" t="s">
        <v>112</v>
      </c>
      <c r="E44" s="30">
        <v>85</v>
      </c>
      <c r="F44" s="30">
        <v>90</v>
      </c>
      <c r="G44" s="30">
        <f t="shared" si="0"/>
        <v>7650</v>
      </c>
    </row>
    <row r="45" spans="2:7" ht="15">
      <c r="B45" s="33" t="s">
        <v>269</v>
      </c>
      <c r="C45" s="30" t="s">
        <v>162</v>
      </c>
      <c r="D45" s="33" t="s">
        <v>112</v>
      </c>
      <c r="E45" s="30">
        <v>85</v>
      </c>
      <c r="F45" s="30">
        <v>10</v>
      </c>
      <c r="G45" s="30">
        <f t="shared" si="0"/>
        <v>850</v>
      </c>
    </row>
    <row r="46" spans="2:7" ht="15">
      <c r="B46" s="33" t="s">
        <v>270</v>
      </c>
      <c r="C46" s="30" t="s">
        <v>162</v>
      </c>
      <c r="D46" s="33" t="s">
        <v>112</v>
      </c>
      <c r="E46" s="30">
        <v>85</v>
      </c>
      <c r="F46" s="30">
        <v>20</v>
      </c>
      <c r="G46" s="30">
        <f t="shared" si="0"/>
        <v>1700</v>
      </c>
    </row>
    <row r="47" spans="2:7" ht="15">
      <c r="B47" s="33" t="s">
        <v>271</v>
      </c>
      <c r="C47" s="30" t="s">
        <v>162</v>
      </c>
      <c r="D47" s="33" t="s">
        <v>112</v>
      </c>
      <c r="E47" s="30">
        <v>85</v>
      </c>
      <c r="F47" s="30">
        <v>90</v>
      </c>
      <c r="G47" s="30">
        <f t="shared" si="0"/>
        <v>7650</v>
      </c>
    </row>
    <row r="48" spans="2:7" ht="15">
      <c r="B48" s="33" t="s">
        <v>272</v>
      </c>
      <c r="C48" s="30" t="s">
        <v>162</v>
      </c>
      <c r="D48" s="33" t="s">
        <v>112</v>
      </c>
      <c r="E48" s="30">
        <v>85</v>
      </c>
      <c r="F48" s="30">
        <v>55</v>
      </c>
      <c r="G48" s="30">
        <f t="shared" si="0"/>
        <v>4675</v>
      </c>
    </row>
    <row r="49" spans="2:7" ht="15">
      <c r="B49" s="33" t="s">
        <v>273</v>
      </c>
      <c r="C49" s="30" t="s">
        <v>163</v>
      </c>
      <c r="D49" s="33" t="s">
        <v>112</v>
      </c>
      <c r="E49" s="30">
        <v>85</v>
      </c>
      <c r="F49" s="30">
        <v>10</v>
      </c>
      <c r="G49" s="30">
        <f t="shared" si="0"/>
        <v>850</v>
      </c>
    </row>
    <row r="50" spans="2:7" ht="15">
      <c r="B50" s="33" t="s">
        <v>274</v>
      </c>
      <c r="C50" s="30" t="s">
        <v>164</v>
      </c>
      <c r="D50" s="33" t="s">
        <v>112</v>
      </c>
      <c r="E50" s="30">
        <v>85</v>
      </c>
      <c r="F50" s="30">
        <v>10</v>
      </c>
      <c r="G50" s="30">
        <f t="shared" si="0"/>
        <v>850</v>
      </c>
    </row>
    <row r="51" spans="2:7" ht="15">
      <c r="B51" s="33" t="s">
        <v>275</v>
      </c>
      <c r="C51" s="30" t="s">
        <v>164</v>
      </c>
      <c r="D51" s="33" t="s">
        <v>112</v>
      </c>
      <c r="E51" s="30">
        <v>85</v>
      </c>
      <c r="F51" s="30">
        <v>50</v>
      </c>
      <c r="G51" s="30">
        <f t="shared" si="0"/>
        <v>4250</v>
      </c>
    </row>
    <row r="52" spans="2:7" ht="15">
      <c r="B52" s="33" t="s">
        <v>276</v>
      </c>
      <c r="C52" s="30" t="s">
        <v>164</v>
      </c>
      <c r="D52" s="33" t="s">
        <v>112</v>
      </c>
      <c r="E52" s="30">
        <v>85</v>
      </c>
      <c r="F52" s="30">
        <v>70</v>
      </c>
      <c r="G52" s="30">
        <f t="shared" si="0"/>
        <v>5950</v>
      </c>
    </row>
    <row r="53" spans="2:7" ht="15">
      <c r="B53" s="33" t="s">
        <v>277</v>
      </c>
      <c r="C53" s="30" t="s">
        <v>164</v>
      </c>
      <c r="D53" s="33" t="s">
        <v>112</v>
      </c>
      <c r="E53" s="30">
        <v>85</v>
      </c>
      <c r="F53" s="30">
        <v>15</v>
      </c>
      <c r="G53" s="30">
        <f t="shared" si="0"/>
        <v>1275</v>
      </c>
    </row>
    <row r="54" spans="2:7" ht="15">
      <c r="B54" s="33" t="s">
        <v>278</v>
      </c>
      <c r="C54" s="30" t="s">
        <v>164</v>
      </c>
      <c r="D54" s="33" t="s">
        <v>112</v>
      </c>
      <c r="E54" s="30">
        <v>85</v>
      </c>
      <c r="F54" s="30">
        <v>55</v>
      </c>
      <c r="G54" s="30">
        <f t="shared" si="0"/>
        <v>4675</v>
      </c>
    </row>
    <row r="55" spans="2:7" ht="15">
      <c r="B55" s="33" t="s">
        <v>279</v>
      </c>
      <c r="C55" s="30" t="s">
        <v>165</v>
      </c>
      <c r="D55" s="33" t="s">
        <v>112</v>
      </c>
      <c r="E55" s="30">
        <v>85</v>
      </c>
      <c r="F55" s="30">
        <v>65</v>
      </c>
      <c r="G55" s="30">
        <f t="shared" si="0"/>
        <v>5525</v>
      </c>
    </row>
    <row r="56" spans="2:7" ht="15">
      <c r="B56" s="33" t="s">
        <v>280</v>
      </c>
      <c r="C56" s="30" t="s">
        <v>165</v>
      </c>
      <c r="D56" s="33" t="s">
        <v>112</v>
      </c>
      <c r="E56" s="30">
        <v>85</v>
      </c>
      <c r="F56" s="30">
        <v>70</v>
      </c>
      <c r="G56" s="30">
        <f t="shared" si="0"/>
        <v>5950</v>
      </c>
    </row>
    <row r="57" spans="2:7" ht="15">
      <c r="B57" s="33" t="s">
        <v>281</v>
      </c>
      <c r="C57" s="30" t="s">
        <v>165</v>
      </c>
      <c r="D57" s="33" t="s">
        <v>112</v>
      </c>
      <c r="E57" s="30">
        <v>85</v>
      </c>
      <c r="F57" s="30">
        <v>90</v>
      </c>
      <c r="G57" s="30">
        <f t="shared" si="0"/>
        <v>7650</v>
      </c>
    </row>
    <row r="58" spans="2:7" ht="15">
      <c r="B58" s="33" t="s">
        <v>282</v>
      </c>
      <c r="C58" s="30" t="s">
        <v>166</v>
      </c>
      <c r="D58" s="33" t="s">
        <v>112</v>
      </c>
      <c r="E58" s="30">
        <v>85</v>
      </c>
      <c r="F58" s="30">
        <v>15</v>
      </c>
      <c r="G58" s="30">
        <f t="shared" si="0"/>
        <v>1275</v>
      </c>
    </row>
    <row r="59" spans="2:7" ht="15">
      <c r="B59" s="33" t="s">
        <v>283</v>
      </c>
      <c r="C59" s="30" t="s">
        <v>167</v>
      </c>
      <c r="D59" s="33" t="s">
        <v>112</v>
      </c>
      <c r="E59" s="30">
        <v>85</v>
      </c>
      <c r="F59" s="30">
        <v>70</v>
      </c>
      <c r="G59" s="30">
        <f t="shared" si="0"/>
        <v>5950</v>
      </c>
    </row>
    <row r="60" spans="2:7" ht="15">
      <c r="B60" s="33" t="s">
        <v>284</v>
      </c>
      <c r="C60" s="30" t="s">
        <v>168</v>
      </c>
      <c r="D60" s="33" t="s">
        <v>112</v>
      </c>
      <c r="E60" s="30">
        <v>85</v>
      </c>
      <c r="F60" s="30">
        <v>50</v>
      </c>
      <c r="G60" s="30">
        <f t="shared" si="0"/>
        <v>4250</v>
      </c>
    </row>
    <row r="61" spans="2:7" ht="15">
      <c r="B61" s="33" t="s">
        <v>285</v>
      </c>
      <c r="C61" s="30" t="s">
        <v>169</v>
      </c>
      <c r="D61" s="33" t="s">
        <v>112</v>
      </c>
      <c r="E61" s="30">
        <v>85</v>
      </c>
      <c r="F61" s="30">
        <v>10</v>
      </c>
      <c r="G61" s="30">
        <f t="shared" si="0"/>
        <v>850</v>
      </c>
    </row>
    <row r="62" spans="2:7" ht="15">
      <c r="B62" s="33" t="s">
        <v>286</v>
      </c>
      <c r="C62" s="30" t="s">
        <v>170</v>
      </c>
      <c r="D62" s="33" t="s">
        <v>112</v>
      </c>
      <c r="E62" s="30">
        <v>85</v>
      </c>
      <c r="F62" s="30">
        <v>55</v>
      </c>
      <c r="G62" s="30">
        <f t="shared" si="0"/>
        <v>4675</v>
      </c>
    </row>
    <row r="63" spans="2:7" ht="15">
      <c r="B63" s="33" t="s">
        <v>287</v>
      </c>
      <c r="C63" s="30" t="s">
        <v>170</v>
      </c>
      <c r="D63" s="33" t="s">
        <v>112</v>
      </c>
      <c r="E63" s="30">
        <v>85</v>
      </c>
      <c r="F63" s="30">
        <v>70</v>
      </c>
      <c r="G63" s="30">
        <f t="shared" si="0"/>
        <v>5950</v>
      </c>
    </row>
    <row r="64" spans="2:7" ht="15">
      <c r="B64" s="33" t="s">
        <v>288</v>
      </c>
      <c r="C64" s="30" t="s">
        <v>171</v>
      </c>
      <c r="D64" s="33" t="s">
        <v>112</v>
      </c>
      <c r="E64" s="30">
        <v>85</v>
      </c>
      <c r="F64" s="30">
        <v>20</v>
      </c>
      <c r="G64" s="30">
        <f t="shared" si="0"/>
        <v>1700</v>
      </c>
    </row>
    <row r="65" spans="2:7" ht="15">
      <c r="B65" s="33" t="s">
        <v>289</v>
      </c>
      <c r="C65" s="30" t="s">
        <v>171</v>
      </c>
      <c r="D65" s="33" t="s">
        <v>112</v>
      </c>
      <c r="E65" s="30">
        <v>85</v>
      </c>
      <c r="F65" s="30">
        <v>10</v>
      </c>
      <c r="G65" s="30">
        <f t="shared" si="0"/>
        <v>850</v>
      </c>
    </row>
    <row r="66" spans="2:7" ht="15">
      <c r="B66" s="33" t="s">
        <v>290</v>
      </c>
      <c r="C66" s="30" t="s">
        <v>172</v>
      </c>
      <c r="D66" s="33" t="s">
        <v>112</v>
      </c>
      <c r="E66" s="30">
        <v>85</v>
      </c>
      <c r="F66" s="30">
        <v>20</v>
      </c>
      <c r="G66" s="30">
        <f t="shared" si="0"/>
        <v>1700</v>
      </c>
    </row>
    <row r="67" spans="2:7" ht="15">
      <c r="B67" s="33" t="s">
        <v>291</v>
      </c>
      <c r="C67" s="30" t="s">
        <v>172</v>
      </c>
      <c r="D67" s="33" t="s">
        <v>111</v>
      </c>
      <c r="E67" s="30">
        <v>105</v>
      </c>
      <c r="F67" s="30">
        <v>10</v>
      </c>
      <c r="G67" s="30">
        <f t="shared" si="0"/>
        <v>1050</v>
      </c>
    </row>
    <row r="68" spans="2:7" ht="15">
      <c r="B68" s="33" t="s">
        <v>292</v>
      </c>
      <c r="C68" s="30" t="s">
        <v>173</v>
      </c>
      <c r="D68" s="33" t="s">
        <v>111</v>
      </c>
      <c r="E68" s="30">
        <v>105</v>
      </c>
      <c r="F68" s="30">
        <v>10</v>
      </c>
      <c r="G68" s="30">
        <f t="shared" si="0"/>
        <v>1050</v>
      </c>
    </row>
    <row r="69" spans="2:7" ht="15">
      <c r="B69" s="33" t="s">
        <v>293</v>
      </c>
      <c r="C69" s="30" t="s">
        <v>173</v>
      </c>
      <c r="D69" s="33" t="s">
        <v>111</v>
      </c>
      <c r="E69" s="30">
        <v>105</v>
      </c>
      <c r="F69" s="30">
        <v>45</v>
      </c>
      <c r="G69" s="30">
        <f t="shared" ref="G69:G132" si="1">E69*F69</f>
        <v>4725</v>
      </c>
    </row>
    <row r="70" spans="2:7" ht="15">
      <c r="B70" s="33" t="s">
        <v>294</v>
      </c>
      <c r="C70" s="30" t="s">
        <v>173</v>
      </c>
      <c r="D70" s="33" t="s">
        <v>111</v>
      </c>
      <c r="E70" s="30">
        <v>105</v>
      </c>
      <c r="F70" s="30">
        <v>40</v>
      </c>
      <c r="G70" s="30">
        <f t="shared" si="1"/>
        <v>4200</v>
      </c>
    </row>
    <row r="71" spans="2:7" ht="15">
      <c r="B71" s="33" t="s">
        <v>295</v>
      </c>
      <c r="C71" s="30" t="s">
        <v>174</v>
      </c>
      <c r="D71" s="33" t="s">
        <v>111</v>
      </c>
      <c r="E71" s="30">
        <v>105</v>
      </c>
      <c r="F71" s="30">
        <v>10</v>
      </c>
      <c r="G71" s="30">
        <f t="shared" si="1"/>
        <v>1050</v>
      </c>
    </row>
    <row r="72" spans="2:7" ht="15">
      <c r="B72" s="33" t="s">
        <v>296</v>
      </c>
      <c r="C72" s="30" t="s">
        <v>174</v>
      </c>
      <c r="D72" s="33" t="s">
        <v>111</v>
      </c>
      <c r="E72" s="30">
        <v>105</v>
      </c>
      <c r="F72" s="30">
        <v>70</v>
      </c>
      <c r="G72" s="30">
        <f t="shared" si="1"/>
        <v>7350</v>
      </c>
    </row>
    <row r="73" spans="2:7" ht="15">
      <c r="B73" s="33" t="s">
        <v>297</v>
      </c>
      <c r="C73" s="30" t="s">
        <v>175</v>
      </c>
      <c r="D73" s="33" t="s">
        <v>111</v>
      </c>
      <c r="E73" s="30">
        <v>105</v>
      </c>
      <c r="F73" s="30">
        <v>20</v>
      </c>
      <c r="G73" s="30">
        <f t="shared" si="1"/>
        <v>2100</v>
      </c>
    </row>
    <row r="74" spans="2:7" ht="15">
      <c r="B74" s="33" t="s">
        <v>298</v>
      </c>
      <c r="C74" s="30" t="s">
        <v>175</v>
      </c>
      <c r="D74" s="33" t="s">
        <v>111</v>
      </c>
      <c r="E74" s="30">
        <v>105</v>
      </c>
      <c r="F74" s="30">
        <v>20</v>
      </c>
      <c r="G74" s="30">
        <f t="shared" si="1"/>
        <v>2100</v>
      </c>
    </row>
    <row r="75" spans="2:7" ht="15">
      <c r="B75" s="33" t="s">
        <v>299</v>
      </c>
      <c r="C75" s="30" t="s">
        <v>175</v>
      </c>
      <c r="D75" s="33" t="s">
        <v>111</v>
      </c>
      <c r="E75" s="30">
        <v>105</v>
      </c>
      <c r="F75" s="30">
        <v>10</v>
      </c>
      <c r="G75" s="30">
        <f t="shared" si="1"/>
        <v>1050</v>
      </c>
    </row>
    <row r="76" spans="2:7" ht="15">
      <c r="B76" s="33" t="s">
        <v>300</v>
      </c>
      <c r="C76" s="30" t="s">
        <v>176</v>
      </c>
      <c r="D76" s="33" t="s">
        <v>111</v>
      </c>
      <c r="E76" s="30">
        <v>105</v>
      </c>
      <c r="F76" s="30">
        <v>10</v>
      </c>
      <c r="G76" s="30">
        <f t="shared" si="1"/>
        <v>1050</v>
      </c>
    </row>
    <row r="77" spans="2:7" ht="15">
      <c r="B77" s="33" t="s">
        <v>301</v>
      </c>
      <c r="C77" s="30" t="s">
        <v>177</v>
      </c>
      <c r="D77" s="33" t="s">
        <v>110</v>
      </c>
      <c r="E77" s="30">
        <v>60</v>
      </c>
      <c r="F77" s="30">
        <v>95</v>
      </c>
      <c r="G77" s="30">
        <f t="shared" si="1"/>
        <v>5700</v>
      </c>
    </row>
    <row r="78" spans="2:7" ht="15">
      <c r="B78" s="33" t="s">
        <v>302</v>
      </c>
      <c r="C78" s="30" t="s">
        <v>177</v>
      </c>
      <c r="D78" s="33" t="s">
        <v>110</v>
      </c>
      <c r="E78" s="30">
        <v>60</v>
      </c>
      <c r="F78" s="30">
        <v>95</v>
      </c>
      <c r="G78" s="30">
        <f t="shared" si="1"/>
        <v>5700</v>
      </c>
    </row>
    <row r="79" spans="2:7" ht="15">
      <c r="B79" s="33" t="s">
        <v>303</v>
      </c>
      <c r="C79" s="30" t="s">
        <v>178</v>
      </c>
      <c r="D79" s="33" t="s">
        <v>110</v>
      </c>
      <c r="E79" s="30">
        <v>60</v>
      </c>
      <c r="F79" s="30">
        <v>20</v>
      </c>
      <c r="G79" s="30">
        <f t="shared" si="1"/>
        <v>1200</v>
      </c>
    </row>
    <row r="80" spans="2:7" ht="15">
      <c r="B80" s="33" t="s">
        <v>304</v>
      </c>
      <c r="C80" s="30" t="s">
        <v>178</v>
      </c>
      <c r="D80" s="33" t="s">
        <v>114</v>
      </c>
      <c r="E80" s="30">
        <v>35</v>
      </c>
      <c r="F80" s="30">
        <v>20</v>
      </c>
      <c r="G80" s="30">
        <f t="shared" si="1"/>
        <v>700</v>
      </c>
    </row>
    <row r="81" spans="2:7" ht="15">
      <c r="B81" s="33" t="s">
        <v>305</v>
      </c>
      <c r="C81" s="30" t="s">
        <v>178</v>
      </c>
      <c r="D81" s="33" t="s">
        <v>114</v>
      </c>
      <c r="E81" s="30">
        <v>35</v>
      </c>
      <c r="F81" s="30">
        <v>20</v>
      </c>
      <c r="G81" s="30">
        <f t="shared" si="1"/>
        <v>700</v>
      </c>
    </row>
    <row r="82" spans="2:7" ht="15">
      <c r="B82" s="33" t="s">
        <v>306</v>
      </c>
      <c r="C82" s="30" t="s">
        <v>178</v>
      </c>
      <c r="D82" s="33" t="s">
        <v>114</v>
      </c>
      <c r="E82" s="30">
        <v>35</v>
      </c>
      <c r="F82" s="30">
        <v>10</v>
      </c>
      <c r="G82" s="30">
        <f t="shared" si="1"/>
        <v>350</v>
      </c>
    </row>
    <row r="83" spans="2:7" ht="15">
      <c r="B83" s="33" t="s">
        <v>307</v>
      </c>
      <c r="C83" s="30" t="s">
        <v>178</v>
      </c>
      <c r="D83" s="33" t="s">
        <v>114</v>
      </c>
      <c r="E83" s="30">
        <v>35</v>
      </c>
      <c r="F83" s="30">
        <v>50</v>
      </c>
      <c r="G83" s="30">
        <f t="shared" si="1"/>
        <v>1750</v>
      </c>
    </row>
    <row r="84" spans="2:7" ht="15">
      <c r="B84" s="33" t="s">
        <v>308</v>
      </c>
      <c r="C84" s="30" t="s">
        <v>178</v>
      </c>
      <c r="D84" s="33" t="s">
        <v>114</v>
      </c>
      <c r="E84" s="30">
        <v>35</v>
      </c>
      <c r="F84" s="30">
        <v>40</v>
      </c>
      <c r="G84" s="30">
        <f t="shared" si="1"/>
        <v>1400</v>
      </c>
    </row>
    <row r="85" spans="2:7" ht="15">
      <c r="B85" s="33" t="s">
        <v>309</v>
      </c>
      <c r="C85" s="30" t="s">
        <v>178</v>
      </c>
      <c r="D85" s="33" t="s">
        <v>114</v>
      </c>
      <c r="E85" s="30">
        <v>35</v>
      </c>
      <c r="F85" s="30">
        <v>85</v>
      </c>
      <c r="G85" s="30">
        <f t="shared" si="1"/>
        <v>2975</v>
      </c>
    </row>
    <row r="86" spans="2:7" ht="15">
      <c r="B86" s="33" t="s">
        <v>310</v>
      </c>
      <c r="C86" s="30" t="s">
        <v>179</v>
      </c>
      <c r="D86" s="33" t="s">
        <v>114</v>
      </c>
      <c r="E86" s="30">
        <v>35</v>
      </c>
      <c r="F86" s="30">
        <v>20</v>
      </c>
      <c r="G86" s="30">
        <f t="shared" si="1"/>
        <v>700</v>
      </c>
    </row>
    <row r="87" spans="2:7" ht="15">
      <c r="B87" s="33" t="s">
        <v>311</v>
      </c>
      <c r="C87" s="30" t="s">
        <v>179</v>
      </c>
      <c r="D87" s="33" t="s">
        <v>114</v>
      </c>
      <c r="E87" s="30">
        <v>35</v>
      </c>
      <c r="F87" s="30">
        <v>10</v>
      </c>
      <c r="G87" s="30">
        <f t="shared" si="1"/>
        <v>350</v>
      </c>
    </row>
    <row r="88" spans="2:7" ht="15">
      <c r="B88" s="33" t="s">
        <v>312</v>
      </c>
      <c r="C88" s="30" t="s">
        <v>179</v>
      </c>
      <c r="D88" s="33" t="s">
        <v>114</v>
      </c>
      <c r="E88" s="30">
        <v>35</v>
      </c>
      <c r="F88" s="30">
        <v>15</v>
      </c>
      <c r="G88" s="30">
        <f t="shared" si="1"/>
        <v>525</v>
      </c>
    </row>
    <row r="89" spans="2:7" ht="15">
      <c r="B89" s="33" t="s">
        <v>313</v>
      </c>
      <c r="C89" s="30" t="s">
        <v>180</v>
      </c>
      <c r="D89" s="33" t="s">
        <v>114</v>
      </c>
      <c r="E89" s="30">
        <v>35</v>
      </c>
      <c r="F89" s="30">
        <v>20</v>
      </c>
      <c r="G89" s="30">
        <f t="shared" si="1"/>
        <v>700</v>
      </c>
    </row>
    <row r="90" spans="2:7" ht="15">
      <c r="B90" s="33" t="s">
        <v>314</v>
      </c>
      <c r="C90" s="30" t="s">
        <v>181</v>
      </c>
      <c r="D90" s="33" t="s">
        <v>114</v>
      </c>
      <c r="E90" s="30">
        <v>35</v>
      </c>
      <c r="F90" s="30">
        <v>20</v>
      </c>
      <c r="G90" s="30">
        <f t="shared" si="1"/>
        <v>700</v>
      </c>
    </row>
    <row r="91" spans="2:7" ht="15">
      <c r="B91" s="33" t="s">
        <v>315</v>
      </c>
      <c r="C91" s="30" t="s">
        <v>181</v>
      </c>
      <c r="D91" s="33" t="s">
        <v>114</v>
      </c>
      <c r="E91" s="30">
        <v>35</v>
      </c>
      <c r="F91" s="30">
        <v>40</v>
      </c>
      <c r="G91" s="30">
        <f t="shared" si="1"/>
        <v>1400</v>
      </c>
    </row>
    <row r="92" spans="2:7" ht="15">
      <c r="B92" s="33" t="s">
        <v>316</v>
      </c>
      <c r="C92" s="30" t="s">
        <v>181</v>
      </c>
      <c r="D92" s="33" t="s">
        <v>114</v>
      </c>
      <c r="E92" s="30">
        <v>35</v>
      </c>
      <c r="F92" s="30">
        <v>85</v>
      </c>
      <c r="G92" s="30">
        <f t="shared" si="1"/>
        <v>2975</v>
      </c>
    </row>
    <row r="93" spans="2:7" ht="15">
      <c r="B93" s="33" t="s">
        <v>317</v>
      </c>
      <c r="C93" s="30" t="s">
        <v>181</v>
      </c>
      <c r="D93" s="33" t="s">
        <v>114</v>
      </c>
      <c r="E93" s="30">
        <v>35</v>
      </c>
      <c r="F93" s="30">
        <v>15</v>
      </c>
      <c r="G93" s="30">
        <f t="shared" si="1"/>
        <v>525</v>
      </c>
    </row>
    <row r="94" spans="2:7" ht="15">
      <c r="B94" s="33" t="s">
        <v>318</v>
      </c>
      <c r="C94" s="30" t="s">
        <v>182</v>
      </c>
      <c r="D94" s="33" t="s">
        <v>114</v>
      </c>
      <c r="E94" s="30">
        <v>35</v>
      </c>
      <c r="F94" s="30">
        <v>20</v>
      </c>
      <c r="G94" s="30">
        <f t="shared" si="1"/>
        <v>700</v>
      </c>
    </row>
    <row r="95" spans="2:7" ht="15">
      <c r="B95" s="33" t="s">
        <v>319</v>
      </c>
      <c r="C95" s="30" t="s">
        <v>183</v>
      </c>
      <c r="D95" s="33" t="s">
        <v>114</v>
      </c>
      <c r="E95" s="30">
        <v>35</v>
      </c>
      <c r="F95" s="30">
        <v>40</v>
      </c>
      <c r="G95" s="30">
        <f t="shared" si="1"/>
        <v>1400</v>
      </c>
    </row>
    <row r="96" spans="2:7" ht="15">
      <c r="B96" s="33" t="s">
        <v>320</v>
      </c>
      <c r="C96" s="30" t="s">
        <v>183</v>
      </c>
      <c r="D96" s="33" t="s">
        <v>114</v>
      </c>
      <c r="E96" s="30">
        <v>35</v>
      </c>
      <c r="F96" s="30">
        <v>50</v>
      </c>
      <c r="G96" s="30">
        <f t="shared" si="1"/>
        <v>1750</v>
      </c>
    </row>
    <row r="97" spans="2:7" ht="15">
      <c r="B97" s="33" t="s">
        <v>321</v>
      </c>
      <c r="C97" s="30" t="s">
        <v>183</v>
      </c>
      <c r="D97" s="33" t="s">
        <v>114</v>
      </c>
      <c r="E97" s="30">
        <v>35</v>
      </c>
      <c r="F97" s="30">
        <v>40</v>
      </c>
      <c r="G97" s="30">
        <f t="shared" si="1"/>
        <v>1400</v>
      </c>
    </row>
    <row r="98" spans="2:7" ht="15">
      <c r="B98" s="33" t="s">
        <v>322</v>
      </c>
      <c r="C98" s="30" t="s">
        <v>184</v>
      </c>
      <c r="D98" s="33" t="s">
        <v>114</v>
      </c>
      <c r="E98" s="30">
        <v>35</v>
      </c>
      <c r="F98" s="30">
        <v>10</v>
      </c>
      <c r="G98" s="30">
        <f t="shared" si="1"/>
        <v>350</v>
      </c>
    </row>
    <row r="99" spans="2:7" ht="15">
      <c r="B99" s="33" t="s">
        <v>323</v>
      </c>
      <c r="C99" s="30" t="s">
        <v>185</v>
      </c>
      <c r="D99" s="33" t="s">
        <v>114</v>
      </c>
      <c r="E99" s="30">
        <v>35</v>
      </c>
      <c r="F99" s="30">
        <v>20</v>
      </c>
      <c r="G99" s="30">
        <f t="shared" si="1"/>
        <v>700</v>
      </c>
    </row>
    <row r="100" spans="2:7" ht="15">
      <c r="B100" s="33" t="s">
        <v>324</v>
      </c>
      <c r="C100" s="30" t="s">
        <v>185</v>
      </c>
      <c r="D100" s="33" t="s">
        <v>114</v>
      </c>
      <c r="E100" s="30">
        <v>35</v>
      </c>
      <c r="F100" s="30">
        <v>10</v>
      </c>
      <c r="G100" s="30">
        <f t="shared" si="1"/>
        <v>350</v>
      </c>
    </row>
    <row r="101" spans="2:7" ht="15">
      <c r="B101" s="33" t="s">
        <v>325</v>
      </c>
      <c r="C101" s="30" t="s">
        <v>186</v>
      </c>
      <c r="D101" s="33" t="s">
        <v>114</v>
      </c>
      <c r="E101" s="30">
        <v>35</v>
      </c>
      <c r="F101" s="30">
        <v>10</v>
      </c>
      <c r="G101" s="30">
        <f t="shared" si="1"/>
        <v>350</v>
      </c>
    </row>
    <row r="102" spans="2:7" ht="15">
      <c r="B102" s="33" t="s">
        <v>326</v>
      </c>
      <c r="C102" s="30" t="s">
        <v>187</v>
      </c>
      <c r="D102" s="33" t="s">
        <v>114</v>
      </c>
      <c r="E102" s="30">
        <v>35</v>
      </c>
      <c r="F102" s="30">
        <v>70</v>
      </c>
      <c r="G102" s="30">
        <f t="shared" si="1"/>
        <v>2450</v>
      </c>
    </row>
    <row r="103" spans="2:7" ht="15">
      <c r="B103" s="33" t="s">
        <v>327</v>
      </c>
      <c r="C103" s="30" t="s">
        <v>188</v>
      </c>
      <c r="D103" s="33" t="s">
        <v>114</v>
      </c>
      <c r="E103" s="30">
        <v>35</v>
      </c>
      <c r="F103" s="30">
        <v>20</v>
      </c>
      <c r="G103" s="30">
        <f t="shared" si="1"/>
        <v>700</v>
      </c>
    </row>
    <row r="104" spans="2:7" ht="15">
      <c r="B104" s="33" t="s">
        <v>328</v>
      </c>
      <c r="C104" s="30" t="s">
        <v>188</v>
      </c>
      <c r="D104" s="33" t="s">
        <v>114</v>
      </c>
      <c r="E104" s="30">
        <v>35</v>
      </c>
      <c r="F104" s="30">
        <v>85</v>
      </c>
      <c r="G104" s="30">
        <f t="shared" si="1"/>
        <v>2975</v>
      </c>
    </row>
    <row r="105" spans="2:7" ht="15">
      <c r="B105" s="33" t="s">
        <v>329</v>
      </c>
      <c r="C105" s="30" t="s">
        <v>188</v>
      </c>
      <c r="D105" s="33" t="s">
        <v>114</v>
      </c>
      <c r="E105" s="30">
        <v>35</v>
      </c>
      <c r="F105" s="30">
        <v>70</v>
      </c>
      <c r="G105" s="30">
        <f t="shared" si="1"/>
        <v>2450</v>
      </c>
    </row>
    <row r="106" spans="2:7" ht="15">
      <c r="B106" s="33" t="s">
        <v>330</v>
      </c>
      <c r="C106" s="30" t="s">
        <v>188</v>
      </c>
      <c r="D106" s="33" t="s">
        <v>114</v>
      </c>
      <c r="E106" s="30">
        <v>35</v>
      </c>
      <c r="F106" s="30">
        <v>10</v>
      </c>
      <c r="G106" s="30">
        <f t="shared" si="1"/>
        <v>350</v>
      </c>
    </row>
    <row r="107" spans="2:7" ht="15">
      <c r="B107" s="33" t="s">
        <v>331</v>
      </c>
      <c r="C107" s="30" t="s">
        <v>189</v>
      </c>
      <c r="D107" s="33" t="s">
        <v>114</v>
      </c>
      <c r="E107" s="30">
        <v>35</v>
      </c>
      <c r="F107" s="30">
        <v>40</v>
      </c>
      <c r="G107" s="30">
        <f t="shared" si="1"/>
        <v>1400</v>
      </c>
    </row>
    <row r="108" spans="2:7" ht="15">
      <c r="B108" s="33" t="s">
        <v>332</v>
      </c>
      <c r="C108" s="30" t="s">
        <v>189</v>
      </c>
      <c r="D108" s="33" t="s">
        <v>114</v>
      </c>
      <c r="E108" s="30">
        <v>35</v>
      </c>
      <c r="F108" s="30">
        <v>85</v>
      </c>
      <c r="G108" s="30">
        <f t="shared" si="1"/>
        <v>2975</v>
      </c>
    </row>
    <row r="109" spans="2:7" ht="15">
      <c r="B109" s="33" t="s">
        <v>333</v>
      </c>
      <c r="C109" s="30" t="s">
        <v>189</v>
      </c>
      <c r="D109" s="33" t="s">
        <v>114</v>
      </c>
      <c r="E109" s="30">
        <v>35</v>
      </c>
      <c r="F109" s="30">
        <v>10</v>
      </c>
      <c r="G109" s="30">
        <f t="shared" si="1"/>
        <v>350</v>
      </c>
    </row>
    <row r="110" spans="2:7" ht="15">
      <c r="B110" s="33" t="s">
        <v>334</v>
      </c>
      <c r="C110" s="30" t="s">
        <v>190</v>
      </c>
      <c r="D110" s="33" t="s">
        <v>114</v>
      </c>
      <c r="E110" s="30">
        <v>35</v>
      </c>
      <c r="F110" s="30">
        <v>15</v>
      </c>
      <c r="G110" s="30">
        <f t="shared" si="1"/>
        <v>525</v>
      </c>
    </row>
    <row r="111" spans="2:7" ht="15">
      <c r="B111" s="33" t="s">
        <v>335</v>
      </c>
      <c r="C111" s="30" t="s">
        <v>190</v>
      </c>
      <c r="D111" s="33" t="s">
        <v>114</v>
      </c>
      <c r="E111" s="30">
        <v>35</v>
      </c>
      <c r="F111" s="30">
        <v>20</v>
      </c>
      <c r="G111" s="30">
        <f t="shared" si="1"/>
        <v>700</v>
      </c>
    </row>
    <row r="112" spans="2:7" ht="15">
      <c r="B112" s="33" t="s">
        <v>336</v>
      </c>
      <c r="C112" s="30" t="s">
        <v>190</v>
      </c>
      <c r="D112" s="33" t="s">
        <v>114</v>
      </c>
      <c r="E112" s="30">
        <v>35</v>
      </c>
      <c r="F112" s="30">
        <v>85</v>
      </c>
      <c r="G112" s="30">
        <f t="shared" si="1"/>
        <v>2975</v>
      </c>
    </row>
    <row r="113" spans="2:7" ht="15">
      <c r="B113" s="33" t="s">
        <v>337</v>
      </c>
      <c r="C113" s="30" t="s">
        <v>190</v>
      </c>
      <c r="D113" s="33" t="s">
        <v>114</v>
      </c>
      <c r="E113" s="30">
        <v>35</v>
      </c>
      <c r="F113" s="30">
        <v>70</v>
      </c>
      <c r="G113" s="30">
        <f t="shared" si="1"/>
        <v>2450</v>
      </c>
    </row>
    <row r="114" spans="2:7" ht="15">
      <c r="B114" s="33" t="s">
        <v>338</v>
      </c>
      <c r="C114" s="30" t="s">
        <v>191</v>
      </c>
      <c r="D114" s="33" t="s">
        <v>114</v>
      </c>
      <c r="E114" s="30">
        <v>35</v>
      </c>
      <c r="F114" s="30">
        <v>20</v>
      </c>
      <c r="G114" s="30">
        <f t="shared" si="1"/>
        <v>700</v>
      </c>
    </row>
    <row r="115" spans="2:7" ht="15">
      <c r="B115" s="33" t="s">
        <v>339</v>
      </c>
      <c r="C115" s="30" t="s">
        <v>191</v>
      </c>
      <c r="D115" s="33" t="s">
        <v>114</v>
      </c>
      <c r="E115" s="30">
        <v>35</v>
      </c>
      <c r="F115" s="30">
        <v>20</v>
      </c>
      <c r="G115" s="30">
        <f t="shared" si="1"/>
        <v>700</v>
      </c>
    </row>
    <row r="116" spans="2:7" ht="15">
      <c r="B116" s="33" t="s">
        <v>340</v>
      </c>
      <c r="C116" s="30" t="s">
        <v>191</v>
      </c>
      <c r="D116" s="33" t="s">
        <v>114</v>
      </c>
      <c r="E116" s="30">
        <v>35</v>
      </c>
      <c r="F116" s="30">
        <v>70</v>
      </c>
      <c r="G116" s="30">
        <f t="shared" si="1"/>
        <v>2450</v>
      </c>
    </row>
    <row r="117" spans="2:7" ht="15">
      <c r="B117" s="33" t="s">
        <v>341</v>
      </c>
      <c r="C117" s="30" t="s">
        <v>191</v>
      </c>
      <c r="D117" s="33" t="s">
        <v>114</v>
      </c>
      <c r="E117" s="30">
        <v>35</v>
      </c>
      <c r="F117" s="30">
        <v>70</v>
      </c>
      <c r="G117" s="30">
        <f t="shared" si="1"/>
        <v>2450</v>
      </c>
    </row>
    <row r="118" spans="2:7" ht="15">
      <c r="B118" s="33" t="s">
        <v>342</v>
      </c>
      <c r="C118" s="30" t="s">
        <v>191</v>
      </c>
      <c r="D118" s="33" t="s">
        <v>114</v>
      </c>
      <c r="E118" s="30">
        <v>35</v>
      </c>
      <c r="F118" s="30">
        <v>20</v>
      </c>
      <c r="G118" s="30">
        <f t="shared" si="1"/>
        <v>700</v>
      </c>
    </row>
    <row r="119" spans="2:7" ht="15">
      <c r="B119" s="33" t="s">
        <v>343</v>
      </c>
      <c r="C119" s="30" t="s">
        <v>192</v>
      </c>
      <c r="D119" s="33" t="s">
        <v>114</v>
      </c>
      <c r="E119" s="30">
        <v>35</v>
      </c>
      <c r="F119" s="30">
        <v>20</v>
      </c>
      <c r="G119" s="30">
        <f t="shared" si="1"/>
        <v>700</v>
      </c>
    </row>
    <row r="120" spans="2:7" ht="15">
      <c r="B120" s="33" t="s">
        <v>344</v>
      </c>
      <c r="C120" s="30" t="s">
        <v>192</v>
      </c>
      <c r="D120" s="33" t="s">
        <v>114</v>
      </c>
      <c r="E120" s="30">
        <v>35</v>
      </c>
      <c r="F120" s="30">
        <v>10</v>
      </c>
      <c r="G120" s="30">
        <f t="shared" si="1"/>
        <v>350</v>
      </c>
    </row>
    <row r="121" spans="2:7" ht="15">
      <c r="B121" s="33" t="s">
        <v>345</v>
      </c>
      <c r="C121" s="30" t="s">
        <v>192</v>
      </c>
      <c r="D121" s="33" t="s">
        <v>114</v>
      </c>
      <c r="E121" s="30">
        <v>35</v>
      </c>
      <c r="F121" s="30">
        <v>90</v>
      </c>
      <c r="G121" s="30">
        <f t="shared" si="1"/>
        <v>3150</v>
      </c>
    </row>
    <row r="122" spans="2:7" ht="15">
      <c r="B122" s="33" t="s">
        <v>346</v>
      </c>
      <c r="C122" s="30" t="s">
        <v>193</v>
      </c>
      <c r="D122" s="33" t="s">
        <v>114</v>
      </c>
      <c r="E122" s="30">
        <v>35</v>
      </c>
      <c r="F122" s="30">
        <v>45</v>
      </c>
      <c r="G122" s="30">
        <f t="shared" si="1"/>
        <v>1575</v>
      </c>
    </row>
    <row r="123" spans="2:7" ht="15">
      <c r="B123" s="33" t="s">
        <v>347</v>
      </c>
      <c r="C123" s="30" t="s">
        <v>194</v>
      </c>
      <c r="D123" s="33" t="s">
        <v>114</v>
      </c>
      <c r="E123" s="30">
        <v>35</v>
      </c>
      <c r="F123" s="30">
        <v>65</v>
      </c>
      <c r="G123" s="30">
        <f t="shared" si="1"/>
        <v>2275</v>
      </c>
    </row>
    <row r="124" spans="2:7" ht="15">
      <c r="B124" s="33" t="s">
        <v>348</v>
      </c>
      <c r="C124" s="30" t="s">
        <v>194</v>
      </c>
      <c r="D124" s="33" t="s">
        <v>114</v>
      </c>
      <c r="E124" s="30">
        <v>35</v>
      </c>
      <c r="F124" s="30">
        <v>40</v>
      </c>
      <c r="G124" s="30">
        <f t="shared" si="1"/>
        <v>1400</v>
      </c>
    </row>
    <row r="125" spans="2:7" ht="15">
      <c r="B125" s="33" t="s">
        <v>349</v>
      </c>
      <c r="C125" s="30" t="s">
        <v>195</v>
      </c>
      <c r="D125" s="33" t="s">
        <v>114</v>
      </c>
      <c r="E125" s="30">
        <v>35</v>
      </c>
      <c r="F125" s="30">
        <v>85</v>
      </c>
      <c r="G125" s="30">
        <f t="shared" si="1"/>
        <v>2975</v>
      </c>
    </row>
    <row r="126" spans="2:7" ht="15">
      <c r="B126" s="33" t="s">
        <v>350</v>
      </c>
      <c r="C126" s="30" t="s">
        <v>196</v>
      </c>
      <c r="D126" s="33" t="s">
        <v>114</v>
      </c>
      <c r="E126" s="30">
        <v>35</v>
      </c>
      <c r="F126" s="30">
        <v>10</v>
      </c>
      <c r="G126" s="30">
        <f t="shared" si="1"/>
        <v>350</v>
      </c>
    </row>
    <row r="127" spans="2:7" ht="15">
      <c r="B127" s="33" t="s">
        <v>351</v>
      </c>
      <c r="C127" s="30" t="s">
        <v>196</v>
      </c>
      <c r="D127" s="33" t="s">
        <v>114</v>
      </c>
      <c r="E127" s="30">
        <v>35</v>
      </c>
      <c r="F127" s="30">
        <v>70</v>
      </c>
      <c r="G127" s="30">
        <f t="shared" si="1"/>
        <v>2450</v>
      </c>
    </row>
    <row r="128" spans="2:7" ht="15">
      <c r="B128" s="33" t="s">
        <v>352</v>
      </c>
      <c r="C128" s="30" t="s">
        <v>196</v>
      </c>
      <c r="D128" s="33" t="s">
        <v>114</v>
      </c>
      <c r="E128" s="30">
        <v>35</v>
      </c>
      <c r="F128" s="30">
        <v>50</v>
      </c>
      <c r="G128" s="30">
        <f t="shared" si="1"/>
        <v>1750</v>
      </c>
    </row>
    <row r="129" spans="2:7" ht="15">
      <c r="B129" s="33" t="s">
        <v>353</v>
      </c>
      <c r="C129" s="30" t="s">
        <v>197</v>
      </c>
      <c r="D129" s="33" t="s">
        <v>114</v>
      </c>
      <c r="E129" s="30">
        <v>35</v>
      </c>
      <c r="F129" s="30">
        <v>85</v>
      </c>
      <c r="G129" s="30">
        <f t="shared" si="1"/>
        <v>2975</v>
      </c>
    </row>
    <row r="130" spans="2:7" ht="15">
      <c r="B130" s="33" t="s">
        <v>354</v>
      </c>
      <c r="C130" s="30" t="s">
        <v>197</v>
      </c>
      <c r="D130" s="33" t="s">
        <v>114</v>
      </c>
      <c r="E130" s="30">
        <v>35</v>
      </c>
      <c r="F130" s="30">
        <v>45</v>
      </c>
      <c r="G130" s="30">
        <f t="shared" si="1"/>
        <v>1575</v>
      </c>
    </row>
    <row r="131" spans="2:7" ht="15">
      <c r="B131" s="33" t="s">
        <v>355</v>
      </c>
      <c r="C131" s="30" t="s">
        <v>197</v>
      </c>
      <c r="D131" s="33" t="s">
        <v>114</v>
      </c>
      <c r="E131" s="30">
        <v>35</v>
      </c>
      <c r="F131" s="30">
        <v>10</v>
      </c>
      <c r="G131" s="30">
        <f t="shared" si="1"/>
        <v>350</v>
      </c>
    </row>
    <row r="132" spans="2:7" ht="15">
      <c r="B132" s="33" t="s">
        <v>356</v>
      </c>
      <c r="C132" s="30" t="s">
        <v>197</v>
      </c>
      <c r="D132" s="33" t="s">
        <v>114</v>
      </c>
      <c r="E132" s="30">
        <v>35</v>
      </c>
      <c r="F132" s="30">
        <v>45</v>
      </c>
      <c r="G132" s="30">
        <f t="shared" si="1"/>
        <v>1575</v>
      </c>
    </row>
    <row r="133" spans="2:7" ht="15">
      <c r="B133" s="33" t="s">
        <v>357</v>
      </c>
      <c r="C133" s="30" t="s">
        <v>197</v>
      </c>
      <c r="D133" s="33" t="s">
        <v>114</v>
      </c>
      <c r="E133" s="30">
        <v>35</v>
      </c>
      <c r="F133" s="30">
        <v>10</v>
      </c>
      <c r="G133" s="30">
        <f t="shared" ref="G133:G195" si="2">E133*F133</f>
        <v>350</v>
      </c>
    </row>
    <row r="134" spans="2:7" ht="15">
      <c r="B134" s="33" t="s">
        <v>358</v>
      </c>
      <c r="C134" s="30" t="s">
        <v>198</v>
      </c>
      <c r="D134" s="33" t="s">
        <v>114</v>
      </c>
      <c r="E134" s="30">
        <v>35</v>
      </c>
      <c r="F134" s="30">
        <v>20</v>
      </c>
      <c r="G134" s="30">
        <f t="shared" si="2"/>
        <v>700</v>
      </c>
    </row>
    <row r="135" spans="2:7" ht="15">
      <c r="B135" s="33" t="s">
        <v>359</v>
      </c>
      <c r="C135" s="30" t="s">
        <v>199</v>
      </c>
      <c r="D135" s="33" t="s">
        <v>114</v>
      </c>
      <c r="E135" s="30">
        <v>35</v>
      </c>
      <c r="F135" s="30">
        <v>85</v>
      </c>
      <c r="G135" s="30">
        <f t="shared" si="2"/>
        <v>2975</v>
      </c>
    </row>
    <row r="136" spans="2:7" ht="15">
      <c r="B136" s="33" t="s">
        <v>360</v>
      </c>
      <c r="C136" s="30" t="s">
        <v>199</v>
      </c>
      <c r="D136" s="33" t="s">
        <v>114</v>
      </c>
      <c r="E136" s="30">
        <v>35</v>
      </c>
      <c r="F136" s="30">
        <v>95</v>
      </c>
      <c r="G136" s="30">
        <f t="shared" si="2"/>
        <v>3325</v>
      </c>
    </row>
    <row r="137" spans="2:7" ht="15">
      <c r="B137" s="33" t="s">
        <v>361</v>
      </c>
      <c r="C137" s="30" t="s">
        <v>200</v>
      </c>
      <c r="D137" s="33" t="s">
        <v>114</v>
      </c>
      <c r="E137" s="30">
        <v>35</v>
      </c>
      <c r="F137" s="30">
        <v>15</v>
      </c>
      <c r="G137" s="30">
        <f t="shared" si="2"/>
        <v>525</v>
      </c>
    </row>
    <row r="138" spans="2:7" ht="15">
      <c r="B138" s="33" t="s">
        <v>362</v>
      </c>
      <c r="C138" s="30" t="s">
        <v>200</v>
      </c>
      <c r="D138" s="33" t="s">
        <v>114</v>
      </c>
      <c r="E138" s="30">
        <v>35</v>
      </c>
      <c r="F138" s="30">
        <v>15</v>
      </c>
      <c r="G138" s="30">
        <f t="shared" si="2"/>
        <v>525</v>
      </c>
    </row>
    <row r="139" spans="2:7" ht="15">
      <c r="B139" s="33" t="s">
        <v>363</v>
      </c>
      <c r="C139" s="30" t="s">
        <v>201</v>
      </c>
      <c r="D139" s="33" t="s">
        <v>114</v>
      </c>
      <c r="E139" s="30">
        <v>35</v>
      </c>
      <c r="F139" s="30">
        <v>10</v>
      </c>
      <c r="G139" s="30">
        <f t="shared" si="2"/>
        <v>350</v>
      </c>
    </row>
    <row r="140" spans="2:7" ht="15">
      <c r="B140" s="33" t="s">
        <v>364</v>
      </c>
      <c r="C140" s="30" t="s">
        <v>201</v>
      </c>
      <c r="D140" s="33" t="s">
        <v>114</v>
      </c>
      <c r="E140" s="30">
        <v>35</v>
      </c>
      <c r="F140" s="30">
        <v>20</v>
      </c>
      <c r="G140" s="30">
        <f t="shared" si="2"/>
        <v>700</v>
      </c>
    </row>
    <row r="141" spans="2:7" ht="15">
      <c r="B141" s="33" t="s">
        <v>365</v>
      </c>
      <c r="C141" s="30" t="s">
        <v>201</v>
      </c>
      <c r="D141" s="33" t="s">
        <v>114</v>
      </c>
      <c r="E141" s="30">
        <v>35</v>
      </c>
      <c r="F141" s="30">
        <v>85</v>
      </c>
      <c r="G141" s="30">
        <f t="shared" si="2"/>
        <v>2975</v>
      </c>
    </row>
    <row r="142" spans="2:7" ht="15">
      <c r="B142" s="33" t="s">
        <v>366</v>
      </c>
      <c r="C142" s="30" t="s">
        <v>201</v>
      </c>
      <c r="D142" s="33" t="s">
        <v>112</v>
      </c>
      <c r="E142" s="30">
        <v>85</v>
      </c>
      <c r="F142" s="30">
        <v>20</v>
      </c>
      <c r="G142" s="30">
        <f t="shared" si="2"/>
        <v>1700</v>
      </c>
    </row>
    <row r="143" spans="2:7" ht="15">
      <c r="B143" s="33" t="s">
        <v>367</v>
      </c>
      <c r="C143" s="30" t="s">
        <v>202</v>
      </c>
      <c r="D143" s="33" t="s">
        <v>112</v>
      </c>
      <c r="E143" s="30">
        <v>85</v>
      </c>
      <c r="F143" s="30">
        <v>70</v>
      </c>
      <c r="G143" s="30">
        <f t="shared" si="2"/>
        <v>5950</v>
      </c>
    </row>
    <row r="144" spans="2:7" ht="15">
      <c r="B144" s="33" t="s">
        <v>368</v>
      </c>
      <c r="C144" s="30" t="s">
        <v>202</v>
      </c>
      <c r="D144" s="33" t="s">
        <v>112</v>
      </c>
      <c r="E144" s="30">
        <v>85</v>
      </c>
      <c r="F144" s="30">
        <v>10</v>
      </c>
      <c r="G144" s="30">
        <f t="shared" si="2"/>
        <v>850</v>
      </c>
    </row>
    <row r="145" spans="2:7" ht="15">
      <c r="B145" s="33" t="s">
        <v>369</v>
      </c>
      <c r="C145" s="30" t="s">
        <v>203</v>
      </c>
      <c r="D145" s="33" t="s">
        <v>112</v>
      </c>
      <c r="E145" s="30">
        <v>85</v>
      </c>
      <c r="F145" s="30">
        <v>10</v>
      </c>
      <c r="G145" s="30">
        <f t="shared" si="2"/>
        <v>850</v>
      </c>
    </row>
    <row r="146" spans="2:7" ht="15">
      <c r="B146" s="33" t="s">
        <v>370</v>
      </c>
      <c r="C146" s="30" t="s">
        <v>203</v>
      </c>
      <c r="D146" s="33" t="s">
        <v>112</v>
      </c>
      <c r="E146" s="30">
        <v>85</v>
      </c>
      <c r="F146" s="30">
        <v>10</v>
      </c>
      <c r="G146" s="30">
        <f t="shared" si="2"/>
        <v>850</v>
      </c>
    </row>
    <row r="147" spans="2:7" ht="15">
      <c r="B147" s="33" t="s">
        <v>371</v>
      </c>
      <c r="C147" s="30" t="s">
        <v>203</v>
      </c>
      <c r="D147" s="33" t="s">
        <v>112</v>
      </c>
      <c r="E147" s="30">
        <v>85</v>
      </c>
      <c r="F147" s="30">
        <v>10</v>
      </c>
      <c r="G147" s="30">
        <f t="shared" si="2"/>
        <v>850</v>
      </c>
    </row>
    <row r="148" spans="2:7" ht="15">
      <c r="B148" s="33" t="s">
        <v>372</v>
      </c>
      <c r="C148" s="30" t="s">
        <v>203</v>
      </c>
      <c r="D148" s="33" t="s">
        <v>112</v>
      </c>
      <c r="E148" s="30">
        <v>85</v>
      </c>
      <c r="F148" s="30">
        <v>45</v>
      </c>
      <c r="G148" s="30">
        <f t="shared" si="2"/>
        <v>3825</v>
      </c>
    </row>
    <row r="149" spans="2:7" ht="15">
      <c r="B149" s="33" t="s">
        <v>373</v>
      </c>
      <c r="C149" s="30" t="s">
        <v>204</v>
      </c>
      <c r="D149" s="33" t="s">
        <v>113</v>
      </c>
      <c r="E149" s="30">
        <v>125</v>
      </c>
      <c r="F149" s="30">
        <v>65</v>
      </c>
      <c r="G149" s="30">
        <f t="shared" si="2"/>
        <v>8125</v>
      </c>
    </row>
    <row r="150" spans="2:7" ht="15">
      <c r="B150" s="33" t="s">
        <v>374</v>
      </c>
      <c r="C150" s="30" t="s">
        <v>205</v>
      </c>
      <c r="D150" s="33" t="s">
        <v>113</v>
      </c>
      <c r="E150" s="30">
        <v>125</v>
      </c>
      <c r="F150" s="30">
        <v>85</v>
      </c>
      <c r="G150" s="30">
        <f t="shared" si="2"/>
        <v>10625</v>
      </c>
    </row>
    <row r="151" spans="2:7" ht="15">
      <c r="B151" s="33" t="s">
        <v>375</v>
      </c>
      <c r="C151" s="30" t="s">
        <v>205</v>
      </c>
      <c r="D151" s="33" t="s">
        <v>113</v>
      </c>
      <c r="E151" s="30">
        <v>125</v>
      </c>
      <c r="F151" s="30">
        <v>85</v>
      </c>
      <c r="G151" s="30">
        <f t="shared" si="2"/>
        <v>10625</v>
      </c>
    </row>
    <row r="152" spans="2:7" ht="15">
      <c r="B152" s="33" t="s">
        <v>376</v>
      </c>
      <c r="C152" s="30" t="s">
        <v>206</v>
      </c>
      <c r="D152" s="33" t="s">
        <v>113</v>
      </c>
      <c r="E152" s="30">
        <v>125</v>
      </c>
      <c r="F152" s="30">
        <v>20</v>
      </c>
      <c r="G152" s="30">
        <f t="shared" si="2"/>
        <v>2500</v>
      </c>
    </row>
    <row r="153" spans="2:7" ht="15">
      <c r="B153" s="33" t="s">
        <v>377</v>
      </c>
      <c r="C153" s="30" t="s">
        <v>207</v>
      </c>
      <c r="D153" s="33" t="s">
        <v>113</v>
      </c>
      <c r="E153" s="30">
        <v>125</v>
      </c>
      <c r="F153" s="30">
        <v>20</v>
      </c>
      <c r="G153" s="30">
        <f t="shared" si="2"/>
        <v>2500</v>
      </c>
    </row>
    <row r="154" spans="2:7" ht="15">
      <c r="B154" s="33" t="s">
        <v>378</v>
      </c>
      <c r="C154" s="30" t="s">
        <v>207</v>
      </c>
      <c r="D154" s="33" t="s">
        <v>113</v>
      </c>
      <c r="E154" s="30">
        <v>125</v>
      </c>
      <c r="F154" s="30">
        <v>85</v>
      </c>
      <c r="G154" s="30">
        <f t="shared" si="2"/>
        <v>10625</v>
      </c>
    </row>
    <row r="155" spans="2:7" ht="15">
      <c r="B155" s="33" t="s">
        <v>379</v>
      </c>
      <c r="C155" s="30" t="s">
        <v>207</v>
      </c>
      <c r="D155" s="33" t="s">
        <v>113</v>
      </c>
      <c r="E155" s="30">
        <v>125</v>
      </c>
      <c r="F155" s="30">
        <v>10</v>
      </c>
      <c r="G155" s="30">
        <f t="shared" si="2"/>
        <v>1250</v>
      </c>
    </row>
    <row r="156" spans="2:7" ht="15">
      <c r="B156" s="33" t="s">
        <v>380</v>
      </c>
      <c r="C156" s="30" t="s">
        <v>207</v>
      </c>
      <c r="D156" s="33" t="s">
        <v>113</v>
      </c>
      <c r="E156" s="30">
        <v>125</v>
      </c>
      <c r="F156" s="30">
        <v>50</v>
      </c>
      <c r="G156" s="30">
        <f t="shared" si="2"/>
        <v>6250</v>
      </c>
    </row>
    <row r="157" spans="2:7" ht="15">
      <c r="B157" s="33" t="s">
        <v>381</v>
      </c>
      <c r="C157" s="30" t="s">
        <v>208</v>
      </c>
      <c r="D157" s="33" t="s">
        <v>113</v>
      </c>
      <c r="E157" s="30">
        <v>125</v>
      </c>
      <c r="F157" s="30">
        <v>50</v>
      </c>
      <c r="G157" s="30">
        <f t="shared" si="2"/>
        <v>6250</v>
      </c>
    </row>
    <row r="158" spans="2:7" ht="15">
      <c r="B158" s="33" t="s">
        <v>382</v>
      </c>
      <c r="C158" s="30" t="s">
        <v>208</v>
      </c>
      <c r="D158" s="33" t="s">
        <v>113</v>
      </c>
      <c r="E158" s="30">
        <v>125</v>
      </c>
      <c r="F158" s="30">
        <v>70</v>
      </c>
      <c r="G158" s="30">
        <f t="shared" si="2"/>
        <v>8750</v>
      </c>
    </row>
    <row r="159" spans="2:7" ht="15">
      <c r="B159" s="33" t="s">
        <v>383</v>
      </c>
      <c r="C159" s="30" t="s">
        <v>208</v>
      </c>
      <c r="D159" s="33" t="s">
        <v>111</v>
      </c>
      <c r="E159" s="30">
        <v>105</v>
      </c>
      <c r="F159" s="30">
        <v>50</v>
      </c>
      <c r="G159" s="30">
        <f t="shared" si="2"/>
        <v>5250</v>
      </c>
    </row>
    <row r="160" spans="2:7" ht="15">
      <c r="B160" s="33" t="s">
        <v>384</v>
      </c>
      <c r="C160" s="30" t="s">
        <v>208</v>
      </c>
      <c r="D160" s="33" t="s">
        <v>111</v>
      </c>
      <c r="E160" s="30">
        <v>105</v>
      </c>
      <c r="F160" s="30">
        <v>85</v>
      </c>
      <c r="G160" s="30">
        <f t="shared" si="2"/>
        <v>8925</v>
      </c>
    </row>
    <row r="161" spans="2:7" ht="15">
      <c r="B161" s="33" t="s">
        <v>385</v>
      </c>
      <c r="C161" s="30" t="s">
        <v>208</v>
      </c>
      <c r="D161" s="33" t="s">
        <v>111</v>
      </c>
      <c r="E161" s="30">
        <v>105</v>
      </c>
      <c r="F161" s="30">
        <v>70</v>
      </c>
      <c r="G161" s="30">
        <f t="shared" si="2"/>
        <v>7350</v>
      </c>
    </row>
    <row r="162" spans="2:7" ht="15">
      <c r="B162" s="33" t="s">
        <v>386</v>
      </c>
      <c r="C162" s="30" t="s">
        <v>209</v>
      </c>
      <c r="D162" s="33" t="s">
        <v>111</v>
      </c>
      <c r="E162" s="30">
        <v>105</v>
      </c>
      <c r="F162" s="30">
        <v>10</v>
      </c>
      <c r="G162" s="30">
        <f t="shared" si="2"/>
        <v>1050</v>
      </c>
    </row>
    <row r="163" spans="2:7" ht="15">
      <c r="B163" s="33" t="s">
        <v>387</v>
      </c>
      <c r="C163" s="30" t="s">
        <v>210</v>
      </c>
      <c r="D163" s="33" t="s">
        <v>111</v>
      </c>
      <c r="E163" s="30">
        <v>105</v>
      </c>
      <c r="F163" s="30">
        <v>40</v>
      </c>
      <c r="G163" s="30">
        <f t="shared" si="2"/>
        <v>4200</v>
      </c>
    </row>
    <row r="164" spans="2:7" ht="15">
      <c r="B164" s="33" t="s">
        <v>388</v>
      </c>
      <c r="C164" s="30" t="s">
        <v>210</v>
      </c>
      <c r="D164" s="33" t="s">
        <v>111</v>
      </c>
      <c r="E164" s="30">
        <v>105</v>
      </c>
      <c r="F164" s="30">
        <v>20</v>
      </c>
      <c r="G164" s="30">
        <f t="shared" si="2"/>
        <v>2100</v>
      </c>
    </row>
    <row r="165" spans="2:7" ht="15">
      <c r="B165" s="33" t="s">
        <v>389</v>
      </c>
      <c r="C165" s="30" t="s">
        <v>211</v>
      </c>
      <c r="D165" s="33" t="s">
        <v>111</v>
      </c>
      <c r="E165" s="30">
        <v>105</v>
      </c>
      <c r="F165" s="30">
        <v>70</v>
      </c>
      <c r="G165" s="30">
        <f t="shared" si="2"/>
        <v>7350</v>
      </c>
    </row>
    <row r="166" spans="2:7" ht="15">
      <c r="B166" s="33" t="s">
        <v>390</v>
      </c>
      <c r="C166" s="30" t="s">
        <v>212</v>
      </c>
      <c r="D166" s="33" t="s">
        <v>111</v>
      </c>
      <c r="E166" s="30">
        <v>105</v>
      </c>
      <c r="F166" s="30">
        <v>10</v>
      </c>
      <c r="G166" s="30">
        <f t="shared" si="2"/>
        <v>1050</v>
      </c>
    </row>
    <row r="167" spans="2:7" ht="15">
      <c r="B167" s="33" t="s">
        <v>391</v>
      </c>
      <c r="C167" s="30" t="s">
        <v>212</v>
      </c>
      <c r="D167" s="33" t="s">
        <v>110</v>
      </c>
      <c r="E167" s="30">
        <v>60</v>
      </c>
      <c r="F167" s="30">
        <v>10</v>
      </c>
      <c r="G167" s="30">
        <f t="shared" si="2"/>
        <v>600</v>
      </c>
    </row>
    <row r="168" spans="2:7" ht="15">
      <c r="B168" s="33" t="s">
        <v>392</v>
      </c>
      <c r="C168" s="30" t="s">
        <v>213</v>
      </c>
      <c r="D168" s="33" t="s">
        <v>110</v>
      </c>
      <c r="E168" s="30">
        <v>60</v>
      </c>
      <c r="F168" s="30">
        <v>15</v>
      </c>
      <c r="G168" s="30">
        <f t="shared" si="2"/>
        <v>900</v>
      </c>
    </row>
    <row r="169" spans="2:7" ht="15">
      <c r="B169" s="33" t="s">
        <v>393</v>
      </c>
      <c r="C169" s="30" t="s">
        <v>214</v>
      </c>
      <c r="D169" s="33" t="s">
        <v>110</v>
      </c>
      <c r="E169" s="30">
        <v>60</v>
      </c>
      <c r="F169" s="30">
        <v>95</v>
      </c>
      <c r="G169" s="30">
        <f t="shared" si="2"/>
        <v>5700</v>
      </c>
    </row>
    <row r="170" spans="2:7" ht="15">
      <c r="B170" s="33" t="s">
        <v>394</v>
      </c>
      <c r="C170" s="30" t="s">
        <v>214</v>
      </c>
      <c r="D170" s="33" t="s">
        <v>110</v>
      </c>
      <c r="E170" s="30">
        <v>60</v>
      </c>
      <c r="F170" s="30">
        <v>40</v>
      </c>
      <c r="G170" s="30">
        <f t="shared" si="2"/>
        <v>2400</v>
      </c>
    </row>
    <row r="171" spans="2:7" ht="15">
      <c r="B171" s="33" t="s">
        <v>395</v>
      </c>
      <c r="C171" s="30" t="s">
        <v>215</v>
      </c>
      <c r="D171" s="33" t="s">
        <v>110</v>
      </c>
      <c r="E171" s="30">
        <v>60</v>
      </c>
      <c r="F171" s="30">
        <v>20</v>
      </c>
      <c r="G171" s="30">
        <f t="shared" si="2"/>
        <v>1200</v>
      </c>
    </row>
    <row r="172" spans="2:7" ht="15">
      <c r="B172" s="33" t="s">
        <v>396</v>
      </c>
      <c r="C172" s="30" t="s">
        <v>215</v>
      </c>
      <c r="D172" s="33" t="s">
        <v>110</v>
      </c>
      <c r="E172" s="30">
        <v>60</v>
      </c>
      <c r="F172" s="30">
        <v>10</v>
      </c>
      <c r="G172" s="30">
        <f t="shared" si="2"/>
        <v>600</v>
      </c>
    </row>
    <row r="173" spans="2:7" ht="15">
      <c r="B173" s="33" t="s">
        <v>397</v>
      </c>
      <c r="C173" s="30" t="s">
        <v>215</v>
      </c>
      <c r="D173" s="33" t="s">
        <v>110</v>
      </c>
      <c r="E173" s="30">
        <v>60</v>
      </c>
      <c r="F173" s="30">
        <v>70</v>
      </c>
      <c r="G173" s="30">
        <f t="shared" si="2"/>
        <v>4200</v>
      </c>
    </row>
    <row r="174" spans="2:7" ht="15">
      <c r="B174" s="33" t="s">
        <v>398</v>
      </c>
      <c r="C174" s="30" t="s">
        <v>215</v>
      </c>
      <c r="D174" s="33" t="s">
        <v>110</v>
      </c>
      <c r="E174" s="30">
        <v>60</v>
      </c>
      <c r="F174" s="30">
        <v>10</v>
      </c>
      <c r="G174" s="30">
        <f t="shared" si="2"/>
        <v>600</v>
      </c>
    </row>
    <row r="175" spans="2:7" ht="15">
      <c r="B175" s="33" t="s">
        <v>399</v>
      </c>
      <c r="C175" s="30" t="s">
        <v>215</v>
      </c>
      <c r="D175" s="33" t="s">
        <v>110</v>
      </c>
      <c r="E175" s="30">
        <v>60</v>
      </c>
      <c r="F175" s="30">
        <v>85</v>
      </c>
      <c r="G175" s="30">
        <f t="shared" si="2"/>
        <v>5100</v>
      </c>
    </row>
    <row r="176" spans="2:7" ht="15">
      <c r="B176" s="33" t="s">
        <v>400</v>
      </c>
      <c r="C176" s="30" t="s">
        <v>216</v>
      </c>
      <c r="D176" s="33" t="s">
        <v>110</v>
      </c>
      <c r="E176" s="30">
        <v>60</v>
      </c>
      <c r="F176" s="30">
        <v>10</v>
      </c>
      <c r="G176" s="30">
        <f t="shared" si="2"/>
        <v>600</v>
      </c>
    </row>
    <row r="177" spans="2:7" ht="15">
      <c r="B177" s="33" t="s">
        <v>401</v>
      </c>
      <c r="C177" s="30" t="s">
        <v>216</v>
      </c>
      <c r="D177" s="33" t="s">
        <v>110</v>
      </c>
      <c r="E177" s="30">
        <v>60</v>
      </c>
      <c r="F177" s="30">
        <v>15</v>
      </c>
      <c r="G177" s="30">
        <f t="shared" si="2"/>
        <v>900</v>
      </c>
    </row>
    <row r="178" spans="2:7" ht="15">
      <c r="B178" s="33" t="s">
        <v>402</v>
      </c>
      <c r="C178" s="30" t="s">
        <v>216</v>
      </c>
      <c r="D178" s="33" t="s">
        <v>110</v>
      </c>
      <c r="E178" s="30">
        <v>60</v>
      </c>
      <c r="F178" s="30">
        <v>10</v>
      </c>
      <c r="G178" s="30">
        <f t="shared" si="2"/>
        <v>600</v>
      </c>
    </row>
    <row r="179" spans="2:7" ht="15">
      <c r="B179" s="33" t="s">
        <v>403</v>
      </c>
      <c r="C179" s="30" t="s">
        <v>216</v>
      </c>
      <c r="D179" s="33" t="s">
        <v>110</v>
      </c>
      <c r="E179" s="30">
        <v>60</v>
      </c>
      <c r="F179" s="30">
        <v>15</v>
      </c>
      <c r="G179" s="30">
        <f t="shared" si="2"/>
        <v>900</v>
      </c>
    </row>
    <row r="180" spans="2:7" ht="15">
      <c r="B180" s="33" t="s">
        <v>404</v>
      </c>
      <c r="C180" s="30" t="s">
        <v>217</v>
      </c>
      <c r="D180" s="33" t="s">
        <v>110</v>
      </c>
      <c r="E180" s="30">
        <v>60</v>
      </c>
      <c r="F180" s="30">
        <v>10</v>
      </c>
      <c r="G180" s="30">
        <f t="shared" si="2"/>
        <v>600</v>
      </c>
    </row>
    <row r="181" spans="2:7" ht="15">
      <c r="B181" s="33" t="s">
        <v>405</v>
      </c>
      <c r="C181" s="30" t="s">
        <v>217</v>
      </c>
      <c r="D181" s="33" t="s">
        <v>110</v>
      </c>
      <c r="E181" s="30">
        <v>60</v>
      </c>
      <c r="F181" s="30">
        <v>65</v>
      </c>
      <c r="G181" s="30">
        <f t="shared" si="2"/>
        <v>3900</v>
      </c>
    </row>
    <row r="182" spans="2:7" ht="15">
      <c r="B182" s="33" t="s">
        <v>406</v>
      </c>
      <c r="C182" s="30" t="s">
        <v>217</v>
      </c>
      <c r="D182" s="33" t="s">
        <v>110</v>
      </c>
      <c r="E182" s="30">
        <v>60</v>
      </c>
      <c r="F182" s="30">
        <v>15</v>
      </c>
      <c r="G182" s="30">
        <f t="shared" si="2"/>
        <v>900</v>
      </c>
    </row>
    <row r="183" spans="2:7" ht="15">
      <c r="B183" s="33" t="s">
        <v>407</v>
      </c>
      <c r="C183" s="30" t="s">
        <v>218</v>
      </c>
      <c r="D183" s="33" t="s">
        <v>110</v>
      </c>
      <c r="E183" s="30">
        <v>60</v>
      </c>
      <c r="F183" s="30">
        <v>95</v>
      </c>
      <c r="G183" s="30">
        <f t="shared" si="2"/>
        <v>5700</v>
      </c>
    </row>
    <row r="184" spans="2:7" ht="15">
      <c r="B184" s="33" t="s">
        <v>408</v>
      </c>
      <c r="C184" s="30" t="s">
        <v>219</v>
      </c>
      <c r="D184" s="33" t="s">
        <v>110</v>
      </c>
      <c r="E184" s="30">
        <v>60</v>
      </c>
      <c r="F184" s="30">
        <v>40</v>
      </c>
      <c r="G184" s="30">
        <f t="shared" si="2"/>
        <v>2400</v>
      </c>
    </row>
    <row r="185" spans="2:7" ht="15">
      <c r="B185" s="33" t="s">
        <v>409</v>
      </c>
      <c r="C185" s="30" t="s">
        <v>220</v>
      </c>
      <c r="D185" s="33" t="s">
        <v>110</v>
      </c>
      <c r="E185" s="30">
        <v>60</v>
      </c>
      <c r="F185" s="30">
        <v>15</v>
      </c>
      <c r="G185" s="30">
        <f t="shared" si="2"/>
        <v>900</v>
      </c>
    </row>
    <row r="186" spans="2:7" ht="15">
      <c r="B186" s="33" t="s">
        <v>410</v>
      </c>
      <c r="C186" s="30" t="s">
        <v>220</v>
      </c>
      <c r="D186" s="33" t="s">
        <v>110</v>
      </c>
      <c r="E186" s="30">
        <v>60</v>
      </c>
      <c r="F186" s="30">
        <v>85</v>
      </c>
      <c r="G186" s="30">
        <f t="shared" si="2"/>
        <v>5100</v>
      </c>
    </row>
    <row r="187" spans="2:7" ht="15">
      <c r="B187" s="33" t="s">
        <v>411</v>
      </c>
      <c r="C187" s="30" t="s">
        <v>220</v>
      </c>
      <c r="D187" s="33" t="s">
        <v>110</v>
      </c>
      <c r="E187" s="30">
        <v>60</v>
      </c>
      <c r="F187" s="30">
        <v>70</v>
      </c>
      <c r="G187" s="30">
        <f t="shared" si="2"/>
        <v>4200</v>
      </c>
    </row>
    <row r="188" spans="2:7" ht="15">
      <c r="B188" s="33" t="s">
        <v>412</v>
      </c>
      <c r="C188" s="30" t="s">
        <v>221</v>
      </c>
      <c r="D188" s="33" t="s">
        <v>110</v>
      </c>
      <c r="E188" s="30">
        <v>60</v>
      </c>
      <c r="F188" s="30">
        <v>85</v>
      </c>
      <c r="G188" s="30">
        <f t="shared" si="2"/>
        <v>5100</v>
      </c>
    </row>
    <row r="189" spans="2:7" ht="15">
      <c r="B189" s="33" t="s">
        <v>413</v>
      </c>
      <c r="C189" s="30" t="s">
        <v>221</v>
      </c>
      <c r="D189" s="33" t="s">
        <v>110</v>
      </c>
      <c r="E189" s="30">
        <v>60</v>
      </c>
      <c r="F189" s="30">
        <v>15</v>
      </c>
      <c r="G189" s="30">
        <f t="shared" si="2"/>
        <v>900</v>
      </c>
    </row>
    <row r="190" spans="2:7" ht="15">
      <c r="B190" s="33" t="s">
        <v>414</v>
      </c>
      <c r="C190" s="30" t="s">
        <v>222</v>
      </c>
      <c r="D190" s="33" t="s">
        <v>110</v>
      </c>
      <c r="E190" s="30">
        <v>60</v>
      </c>
      <c r="F190" s="30">
        <v>20</v>
      </c>
      <c r="G190" s="30">
        <f t="shared" si="2"/>
        <v>1200</v>
      </c>
    </row>
    <row r="191" spans="2:7" ht="15">
      <c r="B191" s="33" t="s">
        <v>415</v>
      </c>
      <c r="C191" s="30" t="s">
        <v>222</v>
      </c>
      <c r="D191" s="33" t="s">
        <v>110</v>
      </c>
      <c r="E191" s="30">
        <v>60</v>
      </c>
      <c r="F191" s="30">
        <v>20</v>
      </c>
      <c r="G191" s="30">
        <f t="shared" si="2"/>
        <v>1200</v>
      </c>
    </row>
    <row r="192" spans="2:7" ht="15">
      <c r="B192" s="33" t="s">
        <v>416</v>
      </c>
      <c r="C192" s="30" t="s">
        <v>223</v>
      </c>
      <c r="D192" s="33" t="s">
        <v>110</v>
      </c>
      <c r="E192" s="30">
        <v>60</v>
      </c>
      <c r="F192" s="30">
        <v>45</v>
      </c>
      <c r="G192" s="30">
        <f t="shared" si="2"/>
        <v>2700</v>
      </c>
    </row>
    <row r="193" spans="2:7" ht="15">
      <c r="B193" s="33" t="s">
        <v>417</v>
      </c>
      <c r="C193" s="30" t="s">
        <v>223</v>
      </c>
      <c r="D193" s="33" t="s">
        <v>110</v>
      </c>
      <c r="E193" s="30">
        <v>60</v>
      </c>
      <c r="F193" s="30">
        <v>40</v>
      </c>
      <c r="G193" s="30">
        <f t="shared" si="2"/>
        <v>2400</v>
      </c>
    </row>
    <row r="194" spans="2:7" ht="15">
      <c r="B194" s="33" t="s">
        <v>418</v>
      </c>
      <c r="C194" s="30" t="s">
        <v>224</v>
      </c>
      <c r="D194" s="33" t="s">
        <v>110</v>
      </c>
      <c r="E194" s="30">
        <v>60</v>
      </c>
      <c r="F194" s="30">
        <v>90</v>
      </c>
      <c r="G194" s="30">
        <f t="shared" si="2"/>
        <v>5400</v>
      </c>
    </row>
    <row r="195" spans="2:7" ht="15">
      <c r="B195" s="33" t="s">
        <v>419</v>
      </c>
      <c r="C195" s="30" t="s">
        <v>224</v>
      </c>
      <c r="D195" s="33" t="s">
        <v>110</v>
      </c>
      <c r="E195" s="30">
        <v>60</v>
      </c>
      <c r="F195" s="30">
        <v>20</v>
      </c>
      <c r="G195" s="30">
        <f t="shared" si="2"/>
        <v>1200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1</vt:i4>
      </vt:variant>
    </vt:vector>
  </HeadingPairs>
  <TitlesOfParts>
    <vt:vector size="7" baseType="lpstr">
      <vt:lpstr>盈收預測分析藍本</vt:lpstr>
      <vt:lpstr>銷售量</vt:lpstr>
      <vt:lpstr>業務員考績</vt:lpstr>
      <vt:lpstr>營業點</vt:lpstr>
      <vt:lpstr>第一季銷售分析</vt:lpstr>
      <vt:lpstr>第一季銷售</vt:lpstr>
      <vt:lpstr>獎金對照表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mermaid</dc:creator>
  <cp:lastModifiedBy>王仲麒</cp:lastModifiedBy>
  <dcterms:created xsi:type="dcterms:W3CDTF">1997-01-14T01:50:29Z</dcterms:created>
  <dcterms:modified xsi:type="dcterms:W3CDTF">2021-04-08T07:32:56Z</dcterms:modified>
</cp:coreProperties>
</file>