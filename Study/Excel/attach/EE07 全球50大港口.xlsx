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\Desktop\Mos 2019\檔案製作\"/>
    </mc:Choice>
  </mc:AlternateContent>
  <xr:revisionPtr revIDLastSave="0" documentId="13_ncr:1_{8EBF487D-41D5-4FE1-83DE-91032B5C7A04}" xr6:coauthVersionLast="47" xr6:coauthVersionMax="47" xr10:uidLastSave="{00000000-0000-0000-0000-000000000000}"/>
  <bookViews>
    <workbookView xWindow="-108" yWindow="-108" windowWidth="23256" windowHeight="12576" xr2:uid="{E9546DAC-D95D-43B3-992E-6CA07C7B03A0}"/>
  </bookViews>
  <sheets>
    <sheet name="摘要" sheetId="6" r:id="rId1"/>
    <sheet name="2018年" sheetId="2" r:id="rId2"/>
    <sheet name="2019年" sheetId="3" r:id="rId3"/>
    <sheet name="2020年" sheetId="4" r:id="rId4"/>
    <sheet name="2021年" sheetId="5" r:id="rId5"/>
    <sheet name="貨櫃樞紐分析" sheetId="10" state="hidden" r:id="rId6"/>
    <sheet name="貨櫃量" sheetId="8" r:id="rId7"/>
    <sheet name="貨櫃量分析圖" sheetId="11" r:id="rId8"/>
  </sheets>
  <calcPr calcId="191029"/>
  <pivotCaches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8" l="1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5" i="8"/>
</calcChain>
</file>

<file path=xl/sharedStrings.xml><?xml version="1.0" encoding="utf-8"?>
<sst xmlns="http://schemas.openxmlformats.org/spreadsheetml/2006/main" count="642" uniqueCount="104">
  <si>
    <t>Shanghai</t>
  </si>
  <si>
    <t>Singapore</t>
  </si>
  <si>
    <t>Ningbo-Zhoushan</t>
  </si>
  <si>
    <t>Shenzhen</t>
  </si>
  <si>
    <t>Guangzhou</t>
  </si>
  <si>
    <t>Busan</t>
  </si>
  <si>
    <t>Qingdao</t>
  </si>
  <si>
    <t>Hong Kong</t>
  </si>
  <si>
    <t>Tianjin</t>
  </si>
  <si>
    <t>Rotterdam</t>
  </si>
  <si>
    <t>Dubai</t>
  </si>
  <si>
    <t>Port Klang</t>
  </si>
  <si>
    <t>Antwerp</t>
  </si>
  <si>
    <t>Xiamen</t>
  </si>
  <si>
    <t>Kaohsiung</t>
  </si>
  <si>
    <t>Los Angeles</t>
  </si>
  <si>
    <t>Hamburg</t>
  </si>
  <si>
    <t>Tanjung Pelepas</t>
  </si>
  <si>
    <t>Dalian</t>
  </si>
  <si>
    <t>Laem Chabang</t>
  </si>
  <si>
    <t>Long Beach</t>
  </si>
  <si>
    <t>Tanjung Priok</t>
  </si>
  <si>
    <t>New York</t>
  </si>
  <si>
    <t>Colombo</t>
  </si>
  <si>
    <t>Saigon</t>
  </si>
  <si>
    <t>Piraeus</t>
  </si>
  <si>
    <t>Yingkou</t>
  </si>
  <si>
    <t>Valencia</t>
  </si>
  <si>
    <t>Manila</t>
  </si>
  <si>
    <t>Taicang</t>
  </si>
  <si>
    <t>Hai Phong</t>
  </si>
  <si>
    <t>Algeciras</t>
  </si>
  <si>
    <t>Mumbai</t>
  </si>
  <si>
    <t>Bremerhaven</t>
  </si>
  <si>
    <t>Tanger-Med</t>
  </si>
  <si>
    <t>Lianyungang</t>
  </si>
  <si>
    <t>Mundra</t>
  </si>
  <si>
    <t>Savannah</t>
  </si>
  <si>
    <t>Tokyo</t>
  </si>
  <si>
    <t>Rizhao</t>
  </si>
  <si>
    <t>Jeddah</t>
  </si>
  <si>
    <t>Colón</t>
  </si>
  <si>
    <t>Santos</t>
  </si>
  <si>
    <t>Salalah</t>
  </si>
  <si>
    <t>Tanjung Perak</t>
  </si>
  <si>
    <t>Port Said</t>
  </si>
  <si>
    <t>Seattle–Tacoma</t>
  </si>
  <si>
    <t>Cal Mep</t>
  </si>
  <si>
    <t>Dongguan</t>
  </si>
  <si>
    <t>Felixstowe</t>
  </si>
  <si>
    <t>東亞</t>
  </si>
  <si>
    <t>東南亞</t>
  </si>
  <si>
    <t>歐洲</t>
  </si>
  <si>
    <t>西亞</t>
  </si>
  <si>
    <t>北美</t>
  </si>
  <si>
    <t>南亞</t>
  </si>
  <si>
    <t>非洲</t>
  </si>
  <si>
    <t>中美洲</t>
  </si>
  <si>
    <t>南美洲</t>
  </si>
  <si>
    <t>地區</t>
  </si>
  <si>
    <t>港口</t>
  </si>
  <si>
    <t>港口</t>
    <phoneticPr fontId="2" type="noConversion"/>
  </si>
  <si>
    <t>貨櫃量</t>
    <phoneticPr fontId="2" type="noConversion"/>
  </si>
  <si>
    <t>20呎</t>
    <phoneticPr fontId="2" type="noConversion"/>
  </si>
  <si>
    <t>40呎</t>
    <phoneticPr fontId="2" type="noConversion"/>
  </si>
  <si>
    <t>各地區合計貨櫃量 2018-2019年</t>
    <phoneticPr fontId="2" type="noConversion"/>
  </si>
  <si>
    <t>排序</t>
    <phoneticPr fontId="2" type="noConversion"/>
  </si>
  <si>
    <t>2018年全球50大港口</t>
  </si>
  <si>
    <t>2021年全球50大港口</t>
  </si>
  <si>
    <t>2020年全球50大港口</t>
  </si>
  <si>
    <t>2019年全球50大港口</t>
  </si>
  <si>
    <t>全球50大港口</t>
    <phoneticPr fontId="2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</si>
  <si>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</si>
  <si>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</si>
  <si>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</si>
  <si>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</si>
  <si>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</si>
  <si>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</si>
  <si>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</si>
  <si>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</si>
  <si>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</si>
  <si>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</si>
  <si>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</si>
  <si>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</si>
  <si>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phoneticPr fontId="2" type="noConversion"/>
  </si>
  <si>
    <t>進口櫃量</t>
    <phoneticPr fontId="2" type="noConversion"/>
  </si>
  <si>
    <t>出口櫃量</t>
    <phoneticPr fontId="2" type="noConversion"/>
  </si>
  <si>
    <t>年</t>
    <phoneticPr fontId="2" type="noConversion"/>
  </si>
  <si>
    <t>季別</t>
    <phoneticPr fontId="2" type="noConversion"/>
  </si>
  <si>
    <t>月份</t>
    <phoneticPr fontId="2" type="noConversion"/>
  </si>
  <si>
    <t>各月進出口貨櫃量</t>
    <phoneticPr fontId="2" type="noConversion"/>
  </si>
  <si>
    <t>基隆港</t>
    <phoneticPr fontId="2" type="noConversion"/>
  </si>
  <si>
    <t>台中港</t>
    <phoneticPr fontId="2" type="noConversion"/>
  </si>
  <si>
    <t>高雄港</t>
    <phoneticPr fontId="2" type="noConversion"/>
  </si>
  <si>
    <t>台灣貨櫃量統計</t>
    <phoneticPr fontId="2" type="noConversion"/>
  </si>
  <si>
    <t>第一季</t>
  </si>
  <si>
    <t>第一季</t>
    <phoneticPr fontId="2" type="noConversion"/>
  </si>
  <si>
    <t>第二季</t>
  </si>
  <si>
    <t>第三季</t>
  </si>
  <si>
    <t>第四季</t>
  </si>
  <si>
    <t>列標籤</t>
  </si>
  <si>
    <t>總計</t>
  </si>
  <si>
    <t>(全部)</t>
  </si>
  <si>
    <t>總貨櫃量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</si>
</sst>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76" formatCode="_-* #,##0_-;\-* #,##0_-;_-* &quot;-&quot;??_-;_-@_-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Continuous" vertical="center"/>
    </xf>
    <xf numFmtId="0" fontId="5" fillId="0" borderId="0" xfId="0" applyFont="1" applyAlignment="1">
      <alignment horizontal="left" vertical="center"/>
    </xf>
    <xf numFmtId="176" fontId="4" fillId="0" borderId="0" xfId="1" applyNumberFormat="1" applyFon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一般" xfId="0" builtinId="0"/>
    <cellStyle name="千分位" xfId="1" builtinId="3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</dxfs>
  <tableStyles count="1" defaultTableStyle="TableStyleMedium2" defaultPivotStyle="PivotStyleLight16">
    <tableStyle name="Invisible" pivot="0" table="0" count="0" xr9:uid="{ABE84502-FC64-4446-88E3-68BFF59BCA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[模EEB1 全球50大港口.xlsx]貨櫃樞紐分析!樞紐分析表1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貨櫃樞紐分析!$B$3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貨櫃樞紐分析!$A$4:$A$38</c:f>
              <c:multiLvlStrCache>
                <c:ptCount val="2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  <c:pt idx="12">
                    <c:v>第一季</c:v>
                  </c:pt>
                  <c:pt idx="15">
                    <c:v>第二季</c:v>
                  </c:pt>
                  <c:pt idx="18">
                    <c:v>第三季</c:v>
                  </c:pt>
                  <c:pt idx="21">
                    <c:v>第四季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貨櫃樞紐分析!$B$4:$B$38</c:f>
              <c:numCache>
                <c:formatCode>General</c:formatCode>
                <c:ptCount val="24"/>
                <c:pt idx="0">
                  <c:v>428990</c:v>
                </c:pt>
                <c:pt idx="1">
                  <c:v>446867</c:v>
                </c:pt>
                <c:pt idx="2">
                  <c:v>315820</c:v>
                </c:pt>
                <c:pt idx="3">
                  <c:v>441588</c:v>
                </c:pt>
                <c:pt idx="4">
                  <c:v>376029</c:v>
                </c:pt>
                <c:pt idx="5">
                  <c:v>272489</c:v>
                </c:pt>
                <c:pt idx="6">
                  <c:v>336705</c:v>
                </c:pt>
                <c:pt idx="7">
                  <c:v>434485</c:v>
                </c:pt>
                <c:pt idx="8">
                  <c:v>253883</c:v>
                </c:pt>
                <c:pt idx="9">
                  <c:v>292144</c:v>
                </c:pt>
                <c:pt idx="10">
                  <c:v>326319</c:v>
                </c:pt>
                <c:pt idx="11">
                  <c:v>239980</c:v>
                </c:pt>
                <c:pt idx="12">
                  <c:v>263319</c:v>
                </c:pt>
                <c:pt idx="13">
                  <c:v>297888</c:v>
                </c:pt>
                <c:pt idx="14">
                  <c:v>308602</c:v>
                </c:pt>
                <c:pt idx="15">
                  <c:v>327769</c:v>
                </c:pt>
                <c:pt idx="16">
                  <c:v>348447</c:v>
                </c:pt>
                <c:pt idx="17">
                  <c:v>269640</c:v>
                </c:pt>
                <c:pt idx="18">
                  <c:v>266462</c:v>
                </c:pt>
                <c:pt idx="19">
                  <c:v>417317</c:v>
                </c:pt>
                <c:pt idx="20">
                  <c:v>309965</c:v>
                </c:pt>
                <c:pt idx="21">
                  <c:v>392023</c:v>
                </c:pt>
                <c:pt idx="22">
                  <c:v>207165</c:v>
                </c:pt>
                <c:pt idx="23">
                  <c:v>347596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B-4067-83A3-35A6CC52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658031"/>
        <c:axId val="1424655535"/>
      </c:barChart>
      <c:catAx>
        <c:axId val="142465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4655535"/>
        <c:crosses val="autoZero"/>
        <c:auto val="1"/>
        <c:lblAlgn val="ctr"/>
        <c:lblOffset val="100"/>
        <c:noMultiLvlLbl val="0"/>
      </c:catAx>
      <c:valAx>
        <c:axId val="142465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465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88C1F5-46CD-4FB7-8E34-E40F992D57D7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864" cy="607002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F306FB4-9F2A-44EB-B897-9CB19DA81D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onne" refreshedDate="44330.928798263885" createdVersion="7" refreshedVersion="7" minRefreshableVersion="3" recordCount="72" xr:uid="{DE58D787-4DFC-4C9E-8BE4-932B81CFF5AB}">
  <cacheSource type="worksheet">
    <worksheetSource name="表格5"/>
  </cacheSource>
  <cacheFields count="7">
    <cacheField name="港口" numFmtId="0">
      <sharedItems count="3">
        <s v="基隆港"/>
        <s v="台中港"/>
        <s v="高雄港"/>
      </sharedItems>
    </cacheField>
    <cacheField name="年" numFmtId="0">
      <sharedItems containsSemiMixedTypes="0" containsString="0" containsNumber="1" containsInteger="1" minValue="2019" maxValue="2020" count="2">
        <n v="2020"/>
        <n v="2019"/>
      </sharedItems>
    </cacheField>
    <cacheField name="季別" numFmtId="0">
      <sharedItems count="4">
        <s v="第一季"/>
        <s v="第二季"/>
        <s v="第三季"/>
        <s v="第四季"/>
      </sharedItems>
    </cacheField>
    <cacheField name="月份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進口櫃量" numFmtId="0">
      <sharedItems containsSemiMixedTypes="0" containsString="0" containsNumber="1" containsInteger="1" minValue="11211" maxValue="98549"/>
    </cacheField>
    <cacheField name="出口櫃量" numFmtId="0">
      <sharedItems containsSemiMixedTypes="0" containsString="0" containsNumber="1" containsInteger="1" minValue="10876" maxValue="99834"/>
    </cacheField>
    <cacheField name="合計" numFmtId="3">
      <sharedItems containsSemiMixedTypes="0" containsString="0" containsNumber="1" containsInteger="1" minValue="32514" maxValue="1916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x v="0"/>
    <n v="38189"/>
    <n v="99706"/>
    <n v="137895"/>
  </r>
  <r>
    <x v="0"/>
    <x v="0"/>
    <x v="0"/>
    <x v="1"/>
    <n v="16700"/>
    <n v="29521"/>
    <n v="46221"/>
  </r>
  <r>
    <x v="0"/>
    <x v="0"/>
    <x v="0"/>
    <x v="2"/>
    <n v="75199"/>
    <n v="19277"/>
    <n v="94476"/>
  </r>
  <r>
    <x v="0"/>
    <x v="0"/>
    <x v="1"/>
    <x v="3"/>
    <n v="37314"/>
    <n v="38367"/>
    <n v="75681"/>
  </r>
  <r>
    <x v="0"/>
    <x v="0"/>
    <x v="1"/>
    <x v="4"/>
    <n v="76120"/>
    <n v="16065"/>
    <n v="92185"/>
  </r>
  <r>
    <x v="0"/>
    <x v="0"/>
    <x v="1"/>
    <x v="5"/>
    <n v="25827"/>
    <n v="47375"/>
    <n v="73202"/>
  </r>
  <r>
    <x v="0"/>
    <x v="0"/>
    <x v="2"/>
    <x v="6"/>
    <n v="74675"/>
    <n v="24020"/>
    <n v="98695"/>
  </r>
  <r>
    <x v="0"/>
    <x v="0"/>
    <x v="2"/>
    <x v="7"/>
    <n v="61978"/>
    <n v="42980"/>
    <n v="104958"/>
  </r>
  <r>
    <x v="0"/>
    <x v="0"/>
    <x v="2"/>
    <x v="8"/>
    <n v="73573"/>
    <n v="54821"/>
    <n v="128394"/>
  </r>
  <r>
    <x v="0"/>
    <x v="0"/>
    <x v="3"/>
    <x v="9"/>
    <n v="32201"/>
    <n v="83245"/>
    <n v="115446"/>
  </r>
  <r>
    <x v="0"/>
    <x v="0"/>
    <x v="3"/>
    <x v="10"/>
    <n v="57216"/>
    <n v="25185"/>
    <n v="82401"/>
  </r>
  <r>
    <x v="0"/>
    <x v="0"/>
    <x v="3"/>
    <x v="11"/>
    <n v="80806"/>
    <n v="40057"/>
    <n v="120863"/>
  </r>
  <r>
    <x v="0"/>
    <x v="1"/>
    <x v="0"/>
    <x v="0"/>
    <n v="54826"/>
    <n v="99834"/>
    <n v="154660"/>
  </r>
  <r>
    <x v="0"/>
    <x v="1"/>
    <x v="0"/>
    <x v="1"/>
    <n v="78814"/>
    <n v="59796"/>
    <n v="138610"/>
  </r>
  <r>
    <x v="0"/>
    <x v="1"/>
    <x v="0"/>
    <x v="2"/>
    <n v="44032"/>
    <n v="20530"/>
    <n v="64562"/>
  </r>
  <r>
    <x v="0"/>
    <x v="1"/>
    <x v="1"/>
    <x v="3"/>
    <n v="90534"/>
    <n v="98713"/>
    <n v="189247"/>
  </r>
  <r>
    <x v="0"/>
    <x v="1"/>
    <x v="1"/>
    <x v="4"/>
    <n v="67164"/>
    <n v="59957"/>
    <n v="127121"/>
  </r>
  <r>
    <x v="0"/>
    <x v="1"/>
    <x v="1"/>
    <x v="5"/>
    <n v="64016"/>
    <n v="65494"/>
    <n v="129510"/>
  </r>
  <r>
    <x v="0"/>
    <x v="1"/>
    <x v="2"/>
    <x v="6"/>
    <n v="38859"/>
    <n v="88864"/>
    <n v="127723"/>
  </r>
  <r>
    <x v="0"/>
    <x v="1"/>
    <x v="2"/>
    <x v="7"/>
    <n v="82869"/>
    <n v="75544"/>
    <n v="158413"/>
  </r>
  <r>
    <x v="0"/>
    <x v="1"/>
    <x v="2"/>
    <x v="8"/>
    <n v="19826"/>
    <n v="54361"/>
    <n v="74187"/>
  </r>
  <r>
    <x v="0"/>
    <x v="1"/>
    <x v="3"/>
    <x v="9"/>
    <n v="11211"/>
    <n v="54860"/>
    <n v="66071"/>
  </r>
  <r>
    <x v="0"/>
    <x v="1"/>
    <x v="3"/>
    <x v="10"/>
    <n v="39559"/>
    <n v="10876"/>
    <n v="50435"/>
  </r>
  <r>
    <x v="0"/>
    <x v="1"/>
    <x v="3"/>
    <x v="11"/>
    <n v="19468"/>
    <n v="18033"/>
    <n v="37501"/>
  </r>
  <r>
    <x v="1"/>
    <x v="0"/>
    <x v="0"/>
    <x v="0"/>
    <n v="64821"/>
    <n v="21362"/>
    <n v="86183"/>
  </r>
  <r>
    <x v="1"/>
    <x v="0"/>
    <x v="0"/>
    <x v="1"/>
    <n v="78287"/>
    <n v="52391"/>
    <n v="130678"/>
  </r>
  <r>
    <x v="1"/>
    <x v="0"/>
    <x v="0"/>
    <x v="2"/>
    <n v="67007"/>
    <n v="91477"/>
    <n v="158484"/>
  </r>
  <r>
    <x v="1"/>
    <x v="0"/>
    <x v="1"/>
    <x v="3"/>
    <n v="78138"/>
    <n v="18182"/>
    <n v="96320"/>
  </r>
  <r>
    <x v="1"/>
    <x v="0"/>
    <x v="1"/>
    <x v="4"/>
    <n v="91312"/>
    <n v="36939"/>
    <n v="128251"/>
  </r>
  <r>
    <x v="1"/>
    <x v="0"/>
    <x v="1"/>
    <x v="5"/>
    <n v="56131"/>
    <n v="47351"/>
    <n v="103482"/>
  </r>
  <r>
    <x v="1"/>
    <x v="0"/>
    <x v="2"/>
    <x v="6"/>
    <n v="23663"/>
    <n v="88015"/>
    <n v="111678"/>
  </r>
  <r>
    <x v="1"/>
    <x v="0"/>
    <x v="2"/>
    <x v="7"/>
    <n v="83957"/>
    <n v="82043"/>
    <n v="166000"/>
  </r>
  <r>
    <x v="1"/>
    <x v="0"/>
    <x v="2"/>
    <x v="8"/>
    <n v="42445"/>
    <n v="94521"/>
    <n v="136966"/>
  </r>
  <r>
    <x v="1"/>
    <x v="0"/>
    <x v="3"/>
    <x v="9"/>
    <n v="47743"/>
    <n v="65289"/>
    <n v="113032"/>
  </r>
  <r>
    <x v="1"/>
    <x v="0"/>
    <x v="3"/>
    <x v="10"/>
    <n v="13164"/>
    <n v="24484"/>
    <n v="37648"/>
  </r>
  <r>
    <x v="1"/>
    <x v="0"/>
    <x v="3"/>
    <x v="11"/>
    <n v="27245"/>
    <n v="36355"/>
    <n v="63600"/>
  </r>
  <r>
    <x v="1"/>
    <x v="1"/>
    <x v="0"/>
    <x v="0"/>
    <n v="60738"/>
    <n v="70467"/>
    <n v="131205"/>
  </r>
  <r>
    <x v="1"/>
    <x v="1"/>
    <x v="0"/>
    <x v="1"/>
    <n v="72397"/>
    <n v="98339"/>
    <n v="170736"/>
  </r>
  <r>
    <x v="1"/>
    <x v="1"/>
    <x v="0"/>
    <x v="2"/>
    <n v="25371"/>
    <n v="95851"/>
    <n v="121222"/>
  </r>
  <r>
    <x v="1"/>
    <x v="1"/>
    <x v="1"/>
    <x v="3"/>
    <n v="30294"/>
    <n v="99575"/>
    <n v="129869"/>
  </r>
  <r>
    <x v="1"/>
    <x v="1"/>
    <x v="1"/>
    <x v="4"/>
    <n v="80662"/>
    <n v="44031"/>
    <n v="124693"/>
  </r>
  <r>
    <x v="1"/>
    <x v="1"/>
    <x v="1"/>
    <x v="5"/>
    <n v="45817"/>
    <n v="30777"/>
    <n v="76594"/>
  </r>
  <r>
    <x v="1"/>
    <x v="1"/>
    <x v="2"/>
    <x v="6"/>
    <n v="43321"/>
    <n v="54686"/>
    <n v="98007"/>
  </r>
  <r>
    <x v="1"/>
    <x v="1"/>
    <x v="2"/>
    <x v="7"/>
    <n v="93215"/>
    <n v="98415"/>
    <n v="191630"/>
  </r>
  <r>
    <x v="1"/>
    <x v="1"/>
    <x v="2"/>
    <x v="8"/>
    <n v="94852"/>
    <n v="52330"/>
    <n v="147182"/>
  </r>
  <r>
    <x v="1"/>
    <x v="1"/>
    <x v="3"/>
    <x v="9"/>
    <n v="42183"/>
    <n v="92520"/>
    <n v="134703"/>
  </r>
  <r>
    <x v="1"/>
    <x v="1"/>
    <x v="3"/>
    <x v="10"/>
    <n v="89535"/>
    <n v="23621"/>
    <n v="113156"/>
  </r>
  <r>
    <x v="1"/>
    <x v="1"/>
    <x v="3"/>
    <x v="11"/>
    <n v="13659"/>
    <n v="67622"/>
    <n v="81281"/>
  </r>
  <r>
    <x v="2"/>
    <x v="0"/>
    <x v="0"/>
    <x v="0"/>
    <n v="14302"/>
    <n v="24939"/>
    <n v="39241"/>
  </r>
  <r>
    <x v="2"/>
    <x v="0"/>
    <x v="0"/>
    <x v="1"/>
    <n v="36435"/>
    <n v="84554"/>
    <n v="120989"/>
  </r>
  <r>
    <x v="2"/>
    <x v="0"/>
    <x v="0"/>
    <x v="2"/>
    <n v="40141"/>
    <n v="15501"/>
    <n v="55642"/>
  </r>
  <r>
    <x v="2"/>
    <x v="0"/>
    <x v="1"/>
    <x v="3"/>
    <n v="73436"/>
    <n v="82332"/>
    <n v="155768"/>
  </r>
  <r>
    <x v="2"/>
    <x v="0"/>
    <x v="1"/>
    <x v="4"/>
    <n v="49942"/>
    <n v="78069"/>
    <n v="128011"/>
  </r>
  <r>
    <x v="2"/>
    <x v="0"/>
    <x v="1"/>
    <x v="5"/>
    <n v="43361"/>
    <n v="49595"/>
    <n v="92956"/>
  </r>
  <r>
    <x v="2"/>
    <x v="0"/>
    <x v="2"/>
    <x v="6"/>
    <n v="37497"/>
    <n v="18592"/>
    <n v="56089"/>
  </r>
  <r>
    <x v="2"/>
    <x v="0"/>
    <x v="2"/>
    <x v="7"/>
    <n v="55338"/>
    <n v="91021"/>
    <n v="146359"/>
  </r>
  <r>
    <x v="2"/>
    <x v="0"/>
    <x v="2"/>
    <x v="8"/>
    <n v="12996"/>
    <n v="31609"/>
    <n v="44605"/>
  </r>
  <r>
    <x v="2"/>
    <x v="0"/>
    <x v="3"/>
    <x v="9"/>
    <n v="98549"/>
    <n v="64996"/>
    <n v="163545"/>
  </r>
  <r>
    <x v="2"/>
    <x v="0"/>
    <x v="3"/>
    <x v="10"/>
    <n v="69264"/>
    <n v="17852"/>
    <n v="87116"/>
  </r>
  <r>
    <x v="2"/>
    <x v="0"/>
    <x v="3"/>
    <x v="11"/>
    <n v="94612"/>
    <n v="68521"/>
    <n v="163133"/>
  </r>
  <r>
    <x v="2"/>
    <x v="1"/>
    <x v="0"/>
    <x v="0"/>
    <n v="92103"/>
    <n v="51022"/>
    <n v="143125"/>
  </r>
  <r>
    <x v="2"/>
    <x v="1"/>
    <x v="0"/>
    <x v="1"/>
    <n v="81951"/>
    <n v="55570"/>
    <n v="137521"/>
  </r>
  <r>
    <x v="2"/>
    <x v="1"/>
    <x v="0"/>
    <x v="2"/>
    <n v="53039"/>
    <n v="76997"/>
    <n v="130036"/>
  </r>
  <r>
    <x v="2"/>
    <x v="1"/>
    <x v="1"/>
    <x v="3"/>
    <n v="67436"/>
    <n v="55036"/>
    <n v="122472"/>
  </r>
  <r>
    <x v="2"/>
    <x v="1"/>
    <x v="1"/>
    <x v="4"/>
    <n v="52364"/>
    <n v="71851"/>
    <n v="124215"/>
  </r>
  <r>
    <x v="2"/>
    <x v="1"/>
    <x v="1"/>
    <x v="5"/>
    <n v="52259"/>
    <n v="14126"/>
    <n v="66385"/>
  </r>
  <r>
    <x v="2"/>
    <x v="1"/>
    <x v="2"/>
    <x v="6"/>
    <n v="42538"/>
    <n v="68437"/>
    <n v="110975"/>
  </r>
  <r>
    <x v="2"/>
    <x v="1"/>
    <x v="2"/>
    <x v="7"/>
    <n v="37122"/>
    <n v="47320"/>
    <n v="84442"/>
  </r>
  <r>
    <x v="2"/>
    <x v="1"/>
    <x v="2"/>
    <x v="8"/>
    <n v="17927"/>
    <n v="14587"/>
    <n v="32514"/>
  </r>
  <r>
    <x v="2"/>
    <x v="1"/>
    <x v="3"/>
    <x v="9"/>
    <n v="41161"/>
    <n v="50209"/>
    <n v="91370"/>
  </r>
  <r>
    <x v="2"/>
    <x v="1"/>
    <x v="3"/>
    <x v="10"/>
    <n v="71167"/>
    <n v="91561"/>
    <n v="162728"/>
  </r>
  <r>
    <x v="2"/>
    <x v="1"/>
    <x v="3"/>
    <x v="11"/>
    <n v="36103"/>
    <n v="85095"/>
    <n v="121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69F1C-FFB5-4654-AA5C-D0BDBC7934DF}" name="樞紐分析表1" cacheId="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A3:B38" firstHeaderRow="1" firstDataRow="1" firstDataCol="1" rowPageCount="1" colPageCount="1"/>
  <pivotFields count="7">
    <pivotField axis="axisPage" showAll="0">
      <items count="4">
        <item x="1"/>
        <item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numFmtId="3" showAll="0"/>
  </pivotFields>
  <rowFields count="3">
    <field x="1"/>
    <field x="2"/>
    <field x="3"/>
  </rowFields>
  <rowItems count="35">
    <i>
      <x/>
    </i>
    <i r="1">
      <x/>
    </i>
    <i r="2">
      <x v="3"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/>
    </i>
    <i r="2">
      <x v="1"/>
    </i>
    <i r="2">
      <x v="2"/>
    </i>
    <i>
      <x v="1"/>
    </i>
    <i r="1">
      <x/>
    </i>
    <i r="2">
      <x v="3"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/>
    </i>
    <i r="2">
      <x v="1"/>
    </i>
    <i r="2">
      <x v="2"/>
    </i>
    <i t="grand">
      <x/>
    </i>
  </rowItems>
  <colItems count="1">
    <i/>
  </colItems>
  <pageFields count="1">
    <pageField fld="0" hier="-1"/>
  </pageFields>
  <dataFields count="1">
    <dataField name="總貨櫃量" fld="6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9BA16-0E8F-467A-82D3-3E31B745517D}" name="_2018年" displayName="_2018年" ref="A4:E54" totalsRowShown="0" headerRowDxfId="37" dataDxfId="36">
  <autoFilter ref="A4:E54" xr:uid="{54D9BA16-0E8F-467A-82D3-3E31B745517D}"/>
  <tableColumns count="5">
    <tableColumn id="1" xr3:uid="{7EEB5F82-B621-46CB-8BD4-C0EFA82C9B45}" name="地區" dataDxfId="35"/>
    <tableColumn id="2" xr3:uid="{6E0E5602-9DB1-482B-B04B-1BDC07443399}" name="港口" dataDxfId="34"/>
    <tableColumn id="3" xr3:uid="{39DD810B-6244-47A6-B4C3-5B486431C7B3}" name="貨櫃量" dataDxfId="33" dataCellStyle="千分位"/>
    <tableColumn id="4" xr3:uid="{35A3E153-70AD-4B53-87F3-5E70E0549D43}" name="20呎" dataDxfId="32" dataCellStyle="千分位"/>
    <tableColumn id="5" xr3:uid="{BF421F1B-3505-4E9C-85B3-33A1D314F7E5}" name="40呎" dataDxfId="31" dataCellStyle="千分位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EF6A19-C5F0-4707-8E84-19E001F7C290}" name="_2019年" displayName="_2019年" ref="A4:E54" totalsRowShown="0" headerRowDxfId="30" dataDxfId="29">
  <autoFilter ref="A4:E54" xr:uid="{B4EF6A19-C5F0-4707-8E84-19E001F7C290}"/>
  <tableColumns count="5">
    <tableColumn id="1" xr3:uid="{DEEEBE31-599C-4F8E-A73A-12EE9EBE166D}" name="地區" dataDxfId="28"/>
    <tableColumn id="2" xr3:uid="{2F13DB31-4ADF-40C8-89DB-1841391A7075}" name="港口" dataDxfId="27"/>
    <tableColumn id="3" xr3:uid="{12561799-D484-472E-B7E1-82C78EE78C7B}" name="貨櫃量" dataDxfId="26" dataCellStyle="千分位"/>
    <tableColumn id="4" xr3:uid="{33D594B6-B8B1-4989-84B0-815D90A33BA6}" name="20呎" dataDxfId="25" dataCellStyle="千分位"/>
    <tableColumn id="5" xr3:uid="{6F6EB85E-5748-4FE7-A8F2-0C7E7E001AEC}" name="40呎" dataDxfId="24" dataCellStyle="千分位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E9E4A6-F6B7-4EA8-92A8-2F3217DAA3CE}" name="_2020年" displayName="_2020年" ref="A4:E54" totalsRowShown="0" headerRowDxfId="23" dataDxfId="22">
  <autoFilter ref="A4:E54" xr:uid="{19E9E4A6-F6B7-4EA8-92A8-2F3217DAA3CE}"/>
  <tableColumns count="5">
    <tableColumn id="1" xr3:uid="{E85D5EA2-18CE-40C0-87BF-328F7D1CDFFB}" name="地區" dataDxfId="21"/>
    <tableColumn id="2" xr3:uid="{9852D61D-3BF6-45CE-AA5F-27D46A4CCE06}" name="港口" dataDxfId="20"/>
    <tableColumn id="3" xr3:uid="{E53C9C3C-EB98-4B0A-8128-8F73D546FF99}" name="貨櫃量" dataDxfId="19" dataCellStyle="千分位"/>
    <tableColumn id="4" xr3:uid="{776E159A-66DE-41FB-B480-02224A27295B}" name="20呎" dataDxfId="18" dataCellStyle="千分位"/>
    <tableColumn id="5" xr3:uid="{A33711C8-E783-441C-BA77-AB93A95C9804}" name="40呎" dataDxfId="17" dataCellStyle="千分位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15A9AD-D66E-43EE-BB6B-48612F0403A6}" name="_2021年" displayName="_2021年" ref="A4:E54" totalsRowShown="0" headerRowDxfId="15" dataDxfId="14">
  <autoFilter ref="A4:E54" xr:uid="{1F15A9AD-D66E-43EE-BB6B-48612F0403A6}"/>
  <sortState xmlns:xlrd2="http://schemas.microsoft.com/office/spreadsheetml/2017/richdata2" ref="A5:E54">
    <sortCondition descending="1" ref="C4:C54"/>
  </sortState>
  <tableColumns count="5">
    <tableColumn id="6" xr3:uid="{EF6527CD-DB8B-465E-BD9F-021CD6DCFC5B}" name="排序" dataDxfId="13"/>
    <tableColumn id="2" xr3:uid="{021CAC55-22E3-4B1E-9484-EC210D5E01F6}" name="港口" dataDxfId="12"/>
    <tableColumn id="3" xr3:uid="{EB388C8F-9D0D-4958-92AC-CFA2EAEDBFD5}" name="貨櫃量" dataDxfId="11" dataCellStyle="千分位"/>
    <tableColumn id="4" xr3:uid="{7BE67CB4-70B4-4AB6-B779-FDFF6E2D6246}" name="20呎" dataDxfId="10" dataCellStyle="千分位"/>
    <tableColumn id="5" xr3:uid="{58B1D4C9-9128-4DFC-99A3-50C187FFD569}" name="40呎" dataDxfId="9" dataCellStyle="千分位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F8205B-FC1F-4AE6-AC77-EBA1ADCA814E}" name="表格5" displayName="表格5" ref="A4:G76" totalsRowShown="0" headerRowDxfId="8" dataDxfId="7">
  <autoFilter ref="A4:G76" xr:uid="{D9F8205B-FC1F-4AE6-AC77-EBA1ADCA814E}"/>
  <tableColumns count="7">
    <tableColumn id="1" xr3:uid="{DBE777F3-9656-4027-8A48-CEFF197088E5}" name="港口" dataDxfId="6"/>
    <tableColumn id="2" xr3:uid="{1D8B9CB8-2942-4FFB-BB5E-76D25180610F}" name="年" dataDxfId="5"/>
    <tableColumn id="3" xr3:uid="{60EDB69C-A7B3-4E26-9BA7-1778F45BB4DA}" name="季別" dataDxfId="4"/>
    <tableColumn id="4" xr3:uid="{35EBF64D-C2C0-4F9C-A5C7-921D035D4D73}" name="月份" dataDxfId="3"/>
    <tableColumn id="5" xr3:uid="{087383D6-9219-44FC-8120-DB1E8A3D1937}" name="進口櫃量" dataDxfId="2"/>
    <tableColumn id="6" xr3:uid="{C5D15344-42C3-4C7A-BA93-1A6B737A36B1}" name="出口櫃量" dataDxfId="1"/>
    <tableColumn id="7" xr3:uid="{2A575B02-5D41-4004-A21D-6829E9130A1A}" name="合計" dataDxfId="0">
      <calculatedColumnFormula>SUM(E5:F5)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594C-4460-4ADB-89E1-52C0EC7AEA0D}">
  <dimension ref="A1:B2"/>
  <sheetViews>
    <sheetView tabSelected="1" workbookViewId="0"/>
  </sheetViews>
  <sheetFormatPr defaultRowHeight="16.2" x14ac:dyDescent="0.3"/>
  <cols>
    <col min="1" max="2" width="25.77734375" customWidth="1"/>
    <col min="3" max="6" width="15.77734375" customWidth="1"/>
  </cols>
  <sheetData>
    <row r="1" spans="1:2" ht="25.8" x14ac:dyDescent="0.3">
      <c r="A1" s="5" t="s">
        <v>71</v>
      </c>
      <c r="B1" s="6"/>
    </row>
    <row r="2" spans="1:2" ht="18" x14ac:dyDescent="0.3">
      <c r="A2" s="7" t="s">
        <v>65</v>
      </c>
      <c r="B2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16EA-9B7C-4B22-8CE6-14B76715DBBB}">
  <dimension ref="A1:E54"/>
  <sheetViews>
    <sheetView workbookViewId="0"/>
  </sheetViews>
  <sheetFormatPr defaultRowHeight="15.6" x14ac:dyDescent="0.3"/>
  <cols>
    <col min="1" max="5" width="20.77734375" style="3" customWidth="1"/>
    <col min="6" max="16384" width="8.88671875" style="3"/>
  </cols>
  <sheetData>
    <row r="1" spans="1:5" ht="25.8" x14ac:dyDescent="0.3">
      <c r="A1" s="5" t="s">
        <v>67</v>
      </c>
      <c r="B1" s="2"/>
    </row>
    <row r="2" spans="1:5" ht="18" x14ac:dyDescent="0.3">
      <c r="A2" s="4" t="s">
        <v>62</v>
      </c>
    </row>
    <row r="4" spans="1:5" x14ac:dyDescent="0.3">
      <c r="A4" s="3" t="s">
        <v>59</v>
      </c>
      <c r="B4" s="3" t="s">
        <v>60</v>
      </c>
      <c r="C4" s="3" t="s">
        <v>62</v>
      </c>
      <c r="D4" s="3" t="s">
        <v>63</v>
      </c>
      <c r="E4" s="3" t="s">
        <v>64</v>
      </c>
    </row>
    <row r="5" spans="1:5" x14ac:dyDescent="0.3">
      <c r="A5" s="3" t="s">
        <v>50</v>
      </c>
      <c r="B5" s="3" t="s">
        <v>0</v>
      </c>
      <c r="C5" s="8">
        <v>38704</v>
      </c>
      <c r="D5" s="8">
        <v>3818</v>
      </c>
      <c r="E5" s="8">
        <v>17443</v>
      </c>
    </row>
    <row r="6" spans="1:5" x14ac:dyDescent="0.3">
      <c r="A6" s="3" t="s">
        <v>51</v>
      </c>
      <c r="B6" s="3" t="s">
        <v>1</v>
      </c>
      <c r="C6" s="8">
        <v>79344</v>
      </c>
      <c r="D6" s="8">
        <v>3061</v>
      </c>
      <c r="E6" s="8">
        <v>38142</v>
      </c>
    </row>
    <row r="7" spans="1:5" x14ac:dyDescent="0.3">
      <c r="A7" s="3" t="s">
        <v>50</v>
      </c>
      <c r="B7" s="3" t="s">
        <v>2</v>
      </c>
      <c r="C7" s="8">
        <v>19128</v>
      </c>
      <c r="D7" s="8">
        <v>9151</v>
      </c>
      <c r="E7" s="8">
        <v>4989</v>
      </c>
    </row>
    <row r="8" spans="1:5" x14ac:dyDescent="0.3">
      <c r="A8" s="3" t="s">
        <v>50</v>
      </c>
      <c r="B8" s="3" t="s">
        <v>3</v>
      </c>
      <c r="C8" s="8">
        <v>55626</v>
      </c>
      <c r="D8" s="8">
        <v>7320</v>
      </c>
      <c r="E8" s="8">
        <v>24153</v>
      </c>
    </row>
    <row r="9" spans="1:5" x14ac:dyDescent="0.3">
      <c r="A9" s="3" t="s">
        <v>50</v>
      </c>
      <c r="B9" s="3" t="s">
        <v>4</v>
      </c>
      <c r="C9" s="8">
        <v>72713</v>
      </c>
      <c r="D9" s="8">
        <v>7684</v>
      </c>
      <c r="E9" s="8">
        <v>32515</v>
      </c>
    </row>
    <row r="10" spans="1:5" x14ac:dyDescent="0.3">
      <c r="A10" s="3" t="s">
        <v>50</v>
      </c>
      <c r="B10" s="3" t="s">
        <v>5</v>
      </c>
      <c r="C10" s="8">
        <v>27603</v>
      </c>
      <c r="D10" s="8">
        <v>7661</v>
      </c>
      <c r="E10" s="8">
        <v>9971</v>
      </c>
    </row>
    <row r="11" spans="1:5" x14ac:dyDescent="0.3">
      <c r="A11" s="3" t="s">
        <v>50</v>
      </c>
      <c r="B11" s="3" t="s">
        <v>6</v>
      </c>
      <c r="C11" s="8">
        <v>51498</v>
      </c>
      <c r="D11" s="8">
        <v>2093</v>
      </c>
      <c r="E11" s="8">
        <v>24703</v>
      </c>
    </row>
    <row r="12" spans="1:5" x14ac:dyDescent="0.3">
      <c r="A12" s="3" t="s">
        <v>50</v>
      </c>
      <c r="B12" s="3" t="s">
        <v>7</v>
      </c>
      <c r="C12" s="8">
        <v>62245</v>
      </c>
      <c r="D12" s="8">
        <v>7634</v>
      </c>
      <c r="E12" s="8">
        <v>27306</v>
      </c>
    </row>
    <row r="13" spans="1:5" x14ac:dyDescent="0.3">
      <c r="A13" s="3" t="s">
        <v>50</v>
      </c>
      <c r="B13" s="3" t="s">
        <v>8</v>
      </c>
      <c r="C13" s="8">
        <v>16436</v>
      </c>
      <c r="D13" s="8">
        <v>5715</v>
      </c>
      <c r="E13" s="8">
        <v>5361</v>
      </c>
    </row>
    <row r="14" spans="1:5" x14ac:dyDescent="0.3">
      <c r="A14" s="3" t="s">
        <v>52</v>
      </c>
      <c r="B14" s="3" t="s">
        <v>9</v>
      </c>
      <c r="C14" s="8">
        <v>69500</v>
      </c>
      <c r="D14" s="8">
        <v>4994</v>
      </c>
      <c r="E14" s="8">
        <v>32253</v>
      </c>
    </row>
    <row r="15" spans="1:5" x14ac:dyDescent="0.3">
      <c r="A15" s="3" t="s">
        <v>53</v>
      </c>
      <c r="B15" s="3" t="s">
        <v>10</v>
      </c>
      <c r="C15" s="8">
        <v>17751</v>
      </c>
      <c r="D15" s="8">
        <v>6228</v>
      </c>
      <c r="E15" s="8">
        <v>5762</v>
      </c>
    </row>
    <row r="16" spans="1:5" x14ac:dyDescent="0.3">
      <c r="A16" s="3" t="s">
        <v>51</v>
      </c>
      <c r="B16" s="3" t="s">
        <v>11</v>
      </c>
      <c r="C16" s="8">
        <v>88756</v>
      </c>
      <c r="D16" s="8">
        <v>8148</v>
      </c>
      <c r="E16" s="8">
        <v>40304</v>
      </c>
    </row>
    <row r="17" spans="1:5" x14ac:dyDescent="0.3">
      <c r="A17" s="3" t="s">
        <v>52</v>
      </c>
      <c r="B17" s="3" t="s">
        <v>12</v>
      </c>
      <c r="C17" s="8">
        <v>20641</v>
      </c>
      <c r="D17" s="8">
        <v>8463</v>
      </c>
      <c r="E17" s="8">
        <v>6089</v>
      </c>
    </row>
    <row r="18" spans="1:5" x14ac:dyDescent="0.3">
      <c r="A18" s="3" t="s">
        <v>50</v>
      </c>
      <c r="B18" s="3" t="s">
        <v>13</v>
      </c>
      <c r="C18" s="8">
        <v>75738</v>
      </c>
      <c r="D18" s="8">
        <v>7876</v>
      </c>
      <c r="E18" s="8">
        <v>33931</v>
      </c>
    </row>
    <row r="19" spans="1:5" x14ac:dyDescent="0.3">
      <c r="A19" s="3" t="s">
        <v>50</v>
      </c>
      <c r="B19" s="3" t="s">
        <v>14</v>
      </c>
      <c r="C19" s="8">
        <v>93906</v>
      </c>
      <c r="D19" s="8">
        <v>3836</v>
      </c>
      <c r="E19" s="8">
        <v>45035</v>
      </c>
    </row>
    <row r="20" spans="1:5" x14ac:dyDescent="0.3">
      <c r="A20" s="3" t="s">
        <v>54</v>
      </c>
      <c r="B20" s="3" t="s">
        <v>15</v>
      </c>
      <c r="C20" s="8">
        <v>89671</v>
      </c>
      <c r="D20" s="8">
        <v>7957</v>
      </c>
      <c r="E20" s="8">
        <v>40857</v>
      </c>
    </row>
    <row r="21" spans="1:5" x14ac:dyDescent="0.3">
      <c r="A21" s="3" t="s">
        <v>52</v>
      </c>
      <c r="B21" s="3" t="s">
        <v>16</v>
      </c>
      <c r="C21" s="8">
        <v>23889</v>
      </c>
      <c r="D21" s="8">
        <v>2192</v>
      </c>
      <c r="E21" s="8">
        <v>10849</v>
      </c>
    </row>
    <row r="22" spans="1:5" x14ac:dyDescent="0.3">
      <c r="A22" s="3" t="s">
        <v>51</v>
      </c>
      <c r="B22" s="3" t="s">
        <v>17</v>
      </c>
      <c r="C22" s="8">
        <v>34280</v>
      </c>
      <c r="D22" s="8">
        <v>8404</v>
      </c>
      <c r="E22" s="8">
        <v>12938</v>
      </c>
    </row>
    <row r="23" spans="1:5" x14ac:dyDescent="0.3">
      <c r="A23" s="3" t="s">
        <v>50</v>
      </c>
      <c r="B23" s="3" t="s">
        <v>18</v>
      </c>
      <c r="C23" s="8">
        <v>54775</v>
      </c>
      <c r="D23" s="8">
        <v>1679</v>
      </c>
      <c r="E23" s="8">
        <v>26548</v>
      </c>
    </row>
    <row r="24" spans="1:5" x14ac:dyDescent="0.3">
      <c r="A24" s="3" t="s">
        <v>51</v>
      </c>
      <c r="B24" s="3" t="s">
        <v>19</v>
      </c>
      <c r="C24" s="8">
        <v>25796</v>
      </c>
      <c r="D24" s="8">
        <v>4874</v>
      </c>
      <c r="E24" s="8">
        <v>10461</v>
      </c>
    </row>
    <row r="25" spans="1:5" x14ac:dyDescent="0.3">
      <c r="A25" s="3" t="s">
        <v>54</v>
      </c>
      <c r="B25" s="3" t="s">
        <v>20</v>
      </c>
      <c r="C25" s="8">
        <v>49607</v>
      </c>
      <c r="D25" s="8">
        <v>4261</v>
      </c>
      <c r="E25" s="8">
        <v>22673</v>
      </c>
    </row>
    <row r="26" spans="1:5" x14ac:dyDescent="0.3">
      <c r="A26" s="3" t="s">
        <v>51</v>
      </c>
      <c r="B26" s="3" t="s">
        <v>21</v>
      </c>
      <c r="C26" s="8">
        <v>97103</v>
      </c>
      <c r="D26" s="8">
        <v>3472</v>
      </c>
      <c r="E26" s="8">
        <v>46816</v>
      </c>
    </row>
    <row r="27" spans="1:5" x14ac:dyDescent="0.3">
      <c r="A27" s="3" t="s">
        <v>54</v>
      </c>
      <c r="B27" s="3" t="s">
        <v>22</v>
      </c>
      <c r="C27" s="8">
        <v>24385</v>
      </c>
      <c r="D27" s="8">
        <v>8840</v>
      </c>
      <c r="E27" s="8">
        <v>7773</v>
      </c>
    </row>
    <row r="28" spans="1:5" x14ac:dyDescent="0.3">
      <c r="A28" s="3" t="s">
        <v>55</v>
      </c>
      <c r="B28" s="3" t="s">
        <v>23</v>
      </c>
      <c r="C28" s="8">
        <v>34529</v>
      </c>
      <c r="D28" s="8">
        <v>5054</v>
      </c>
      <c r="E28" s="8">
        <v>14738</v>
      </c>
    </row>
    <row r="29" spans="1:5" x14ac:dyDescent="0.3">
      <c r="A29" s="3" t="s">
        <v>51</v>
      </c>
      <c r="B29" s="3" t="s">
        <v>24</v>
      </c>
      <c r="C29" s="8">
        <v>84416</v>
      </c>
      <c r="D29" s="8">
        <v>6445</v>
      </c>
      <c r="E29" s="8">
        <v>38986</v>
      </c>
    </row>
    <row r="30" spans="1:5" x14ac:dyDescent="0.3">
      <c r="A30" s="3" t="s">
        <v>52</v>
      </c>
      <c r="B30" s="3" t="s">
        <v>25</v>
      </c>
      <c r="C30" s="8">
        <v>23238</v>
      </c>
      <c r="D30" s="8">
        <v>2845</v>
      </c>
      <c r="E30" s="8">
        <v>10197</v>
      </c>
    </row>
    <row r="31" spans="1:5" x14ac:dyDescent="0.3">
      <c r="A31" s="3" t="s">
        <v>50</v>
      </c>
      <c r="B31" s="3" t="s">
        <v>26</v>
      </c>
      <c r="C31" s="8">
        <v>96132</v>
      </c>
      <c r="D31" s="8">
        <v>1888</v>
      </c>
      <c r="E31" s="8">
        <v>47122</v>
      </c>
    </row>
    <row r="32" spans="1:5" x14ac:dyDescent="0.3">
      <c r="A32" s="3" t="s">
        <v>52</v>
      </c>
      <c r="B32" s="3" t="s">
        <v>27</v>
      </c>
      <c r="C32" s="8">
        <v>41996</v>
      </c>
      <c r="D32" s="8">
        <v>4734</v>
      </c>
      <c r="E32" s="8">
        <v>18631</v>
      </c>
    </row>
    <row r="33" spans="1:5" x14ac:dyDescent="0.3">
      <c r="A33" s="3" t="s">
        <v>51</v>
      </c>
      <c r="B33" s="3" t="s">
        <v>28</v>
      </c>
      <c r="C33" s="8">
        <v>57417</v>
      </c>
      <c r="D33" s="8">
        <v>4823</v>
      </c>
      <c r="E33" s="8">
        <v>26297</v>
      </c>
    </row>
    <row r="34" spans="1:5" x14ac:dyDescent="0.3">
      <c r="A34" s="3" t="s">
        <v>50</v>
      </c>
      <c r="B34" s="3" t="s">
        <v>29</v>
      </c>
      <c r="C34" s="8">
        <v>14869</v>
      </c>
      <c r="D34" s="8">
        <v>8838</v>
      </c>
      <c r="E34" s="8">
        <v>3016</v>
      </c>
    </row>
    <row r="35" spans="1:5" x14ac:dyDescent="0.3">
      <c r="A35" s="3" t="s">
        <v>51</v>
      </c>
      <c r="B35" s="3" t="s">
        <v>30</v>
      </c>
      <c r="C35" s="8">
        <v>35558</v>
      </c>
      <c r="D35" s="8">
        <v>7829</v>
      </c>
      <c r="E35" s="8">
        <v>13865</v>
      </c>
    </row>
    <row r="36" spans="1:5" x14ac:dyDescent="0.3">
      <c r="A36" s="3" t="s">
        <v>52</v>
      </c>
      <c r="B36" s="3" t="s">
        <v>31</v>
      </c>
      <c r="C36" s="8">
        <v>83988</v>
      </c>
      <c r="D36" s="8">
        <v>8400</v>
      </c>
      <c r="E36" s="8">
        <v>37794</v>
      </c>
    </row>
    <row r="37" spans="1:5" x14ac:dyDescent="0.3">
      <c r="A37" s="3" t="s">
        <v>55</v>
      </c>
      <c r="B37" s="3" t="s">
        <v>32</v>
      </c>
      <c r="C37" s="8">
        <v>60700</v>
      </c>
      <c r="D37" s="8">
        <v>6149</v>
      </c>
      <c r="E37" s="8">
        <v>27276</v>
      </c>
    </row>
    <row r="38" spans="1:5" x14ac:dyDescent="0.3">
      <c r="A38" s="3" t="s">
        <v>52</v>
      </c>
      <c r="B38" s="3" t="s">
        <v>33</v>
      </c>
      <c r="C38" s="8">
        <v>90410</v>
      </c>
      <c r="D38" s="8">
        <v>1826</v>
      </c>
      <c r="E38" s="8">
        <v>44292</v>
      </c>
    </row>
    <row r="39" spans="1:5" x14ac:dyDescent="0.3">
      <c r="A39" s="3" t="s">
        <v>56</v>
      </c>
      <c r="B39" s="3" t="s">
        <v>34</v>
      </c>
      <c r="C39" s="8">
        <v>78664</v>
      </c>
      <c r="D39" s="8">
        <v>7199</v>
      </c>
      <c r="E39" s="8">
        <v>35733</v>
      </c>
    </row>
    <row r="40" spans="1:5" x14ac:dyDescent="0.3">
      <c r="A40" s="3" t="s">
        <v>50</v>
      </c>
      <c r="B40" s="3" t="s">
        <v>35</v>
      </c>
      <c r="C40" s="8">
        <v>38106</v>
      </c>
      <c r="D40" s="8">
        <v>1302</v>
      </c>
      <c r="E40" s="8">
        <v>18402</v>
      </c>
    </row>
    <row r="41" spans="1:5" x14ac:dyDescent="0.3">
      <c r="A41" s="3" t="s">
        <v>55</v>
      </c>
      <c r="B41" s="3" t="s">
        <v>36</v>
      </c>
      <c r="C41" s="8">
        <v>85641</v>
      </c>
      <c r="D41" s="8">
        <v>8380</v>
      </c>
      <c r="E41" s="8">
        <v>38631</v>
      </c>
    </row>
    <row r="42" spans="1:5" x14ac:dyDescent="0.3">
      <c r="A42" s="3" t="s">
        <v>54</v>
      </c>
      <c r="B42" s="3" t="s">
        <v>37</v>
      </c>
      <c r="C42" s="8">
        <v>40253</v>
      </c>
      <c r="D42" s="8">
        <v>4192</v>
      </c>
      <c r="E42" s="8">
        <v>18031</v>
      </c>
    </row>
    <row r="43" spans="1:5" x14ac:dyDescent="0.3">
      <c r="A43" s="3" t="s">
        <v>50</v>
      </c>
      <c r="B43" s="3" t="s">
        <v>38</v>
      </c>
      <c r="C43" s="8">
        <v>84348</v>
      </c>
      <c r="D43" s="8">
        <v>7234</v>
      </c>
      <c r="E43" s="8">
        <v>38557</v>
      </c>
    </row>
    <row r="44" spans="1:5" x14ac:dyDescent="0.3">
      <c r="A44" s="3" t="s">
        <v>50</v>
      </c>
      <c r="B44" s="3" t="s">
        <v>39</v>
      </c>
      <c r="C44" s="8">
        <v>34452</v>
      </c>
      <c r="D44" s="8">
        <v>7010</v>
      </c>
      <c r="E44" s="8">
        <v>13721</v>
      </c>
    </row>
    <row r="45" spans="1:5" x14ac:dyDescent="0.3">
      <c r="A45" s="3" t="s">
        <v>53</v>
      </c>
      <c r="B45" s="3" t="s">
        <v>40</v>
      </c>
      <c r="C45" s="8">
        <v>52138</v>
      </c>
      <c r="D45" s="8">
        <v>5014</v>
      </c>
      <c r="E45" s="8">
        <v>23562</v>
      </c>
    </row>
    <row r="46" spans="1:5" x14ac:dyDescent="0.3">
      <c r="A46" s="3" t="s">
        <v>57</v>
      </c>
      <c r="B46" s="3" t="s">
        <v>41</v>
      </c>
      <c r="C46" s="8">
        <v>70757</v>
      </c>
      <c r="D46" s="8">
        <v>7071</v>
      </c>
      <c r="E46" s="8">
        <v>31843</v>
      </c>
    </row>
    <row r="47" spans="1:5" x14ac:dyDescent="0.3">
      <c r="A47" s="3" t="s">
        <v>58</v>
      </c>
      <c r="B47" s="3" t="s">
        <v>42</v>
      </c>
      <c r="C47" s="8">
        <v>18041</v>
      </c>
      <c r="D47" s="8">
        <v>9504</v>
      </c>
      <c r="E47" s="8">
        <v>4269</v>
      </c>
    </row>
    <row r="48" spans="1:5" x14ac:dyDescent="0.3">
      <c r="A48" s="3" t="s">
        <v>53</v>
      </c>
      <c r="B48" s="3" t="s">
        <v>43</v>
      </c>
      <c r="C48" s="8">
        <v>52543</v>
      </c>
      <c r="D48" s="8">
        <v>9198</v>
      </c>
      <c r="E48" s="8">
        <v>21673</v>
      </c>
    </row>
    <row r="49" spans="1:5" x14ac:dyDescent="0.3">
      <c r="A49" s="3" t="s">
        <v>51</v>
      </c>
      <c r="B49" s="3" t="s">
        <v>44</v>
      </c>
      <c r="C49" s="8">
        <v>47100</v>
      </c>
      <c r="D49" s="8">
        <v>7018</v>
      </c>
      <c r="E49" s="8">
        <v>20041</v>
      </c>
    </row>
    <row r="50" spans="1:5" x14ac:dyDescent="0.3">
      <c r="A50" s="3" t="s">
        <v>56</v>
      </c>
      <c r="B50" s="3" t="s">
        <v>45</v>
      </c>
      <c r="C50" s="8">
        <v>13547</v>
      </c>
      <c r="D50" s="8">
        <v>9985</v>
      </c>
      <c r="E50" s="8">
        <v>1781</v>
      </c>
    </row>
    <row r="51" spans="1:5" x14ac:dyDescent="0.3">
      <c r="A51" s="3" t="s">
        <v>54</v>
      </c>
      <c r="B51" s="3" t="s">
        <v>46</v>
      </c>
      <c r="C51" s="8">
        <v>96970</v>
      </c>
      <c r="D51" s="8">
        <v>4608</v>
      </c>
      <c r="E51" s="8">
        <v>46181</v>
      </c>
    </row>
    <row r="52" spans="1:5" x14ac:dyDescent="0.3">
      <c r="A52" s="3" t="s">
        <v>51</v>
      </c>
      <c r="B52" s="3" t="s">
        <v>47</v>
      </c>
      <c r="C52" s="8">
        <v>22655</v>
      </c>
      <c r="D52" s="8">
        <v>9745</v>
      </c>
      <c r="E52" s="8">
        <v>6455</v>
      </c>
    </row>
    <row r="53" spans="1:5" x14ac:dyDescent="0.3">
      <c r="A53" s="3" t="s">
        <v>50</v>
      </c>
      <c r="B53" s="3" t="s">
        <v>48</v>
      </c>
      <c r="C53" s="8">
        <v>72019</v>
      </c>
      <c r="D53" s="8">
        <v>1766</v>
      </c>
      <c r="E53" s="8">
        <v>35127</v>
      </c>
    </row>
    <row r="54" spans="1:5" x14ac:dyDescent="0.3">
      <c r="A54" s="3" t="s">
        <v>52</v>
      </c>
      <c r="B54" s="3" t="s">
        <v>49</v>
      </c>
      <c r="C54" s="8">
        <v>20893</v>
      </c>
      <c r="D54" s="8">
        <v>3724</v>
      </c>
      <c r="E54" s="8">
        <v>8585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8F9E-033C-40F7-846C-5D1FE2EF2755}">
  <dimension ref="A1:E54"/>
  <sheetViews>
    <sheetView workbookViewId="0"/>
  </sheetViews>
  <sheetFormatPr defaultRowHeight="15.6" x14ac:dyDescent="0.3"/>
  <cols>
    <col min="1" max="5" width="20.77734375" style="3" customWidth="1"/>
    <col min="6" max="16384" width="8.88671875" style="3"/>
  </cols>
  <sheetData>
    <row r="1" spans="1:5" ht="25.8" x14ac:dyDescent="0.3">
      <c r="A1" s="5" t="s">
        <v>70</v>
      </c>
      <c r="B1" s="2"/>
    </row>
    <row r="2" spans="1:5" ht="18" x14ac:dyDescent="0.3">
      <c r="A2" s="4" t="s">
        <v>62</v>
      </c>
    </row>
    <row r="4" spans="1:5" x14ac:dyDescent="0.3">
      <c r="A4" s="3" t="s">
        <v>59</v>
      </c>
      <c r="B4" s="3" t="s">
        <v>60</v>
      </c>
      <c r="C4" s="3" t="s">
        <v>62</v>
      </c>
      <c r="D4" s="3" t="s">
        <v>63</v>
      </c>
      <c r="E4" s="3" t="s">
        <v>64</v>
      </c>
    </row>
    <row r="5" spans="1:5" x14ac:dyDescent="0.3">
      <c r="A5" s="3" t="s">
        <v>50</v>
      </c>
      <c r="B5" s="3" t="s">
        <v>0</v>
      </c>
      <c r="C5" s="8">
        <v>93312</v>
      </c>
      <c r="D5" s="8">
        <v>2764</v>
      </c>
      <c r="E5" s="8">
        <v>45274</v>
      </c>
    </row>
    <row r="6" spans="1:5" x14ac:dyDescent="0.3">
      <c r="A6" s="3" t="s">
        <v>51</v>
      </c>
      <c r="B6" s="3" t="s">
        <v>1</v>
      </c>
      <c r="C6" s="8">
        <v>53046</v>
      </c>
      <c r="D6" s="8">
        <v>9099</v>
      </c>
      <c r="E6" s="8">
        <v>21974</v>
      </c>
    </row>
    <row r="7" spans="1:5" x14ac:dyDescent="0.3">
      <c r="A7" s="3" t="s">
        <v>50</v>
      </c>
      <c r="B7" s="3" t="s">
        <v>2</v>
      </c>
      <c r="C7" s="8">
        <v>88233</v>
      </c>
      <c r="D7" s="8">
        <v>7835</v>
      </c>
      <c r="E7" s="8">
        <v>40199</v>
      </c>
    </row>
    <row r="8" spans="1:5" x14ac:dyDescent="0.3">
      <c r="A8" s="3" t="s">
        <v>50</v>
      </c>
      <c r="B8" s="3" t="s">
        <v>3</v>
      </c>
      <c r="C8" s="8">
        <v>30883</v>
      </c>
      <c r="D8" s="8">
        <v>1112</v>
      </c>
      <c r="E8" s="8">
        <v>14886</v>
      </c>
    </row>
    <row r="9" spans="1:5" x14ac:dyDescent="0.3">
      <c r="A9" s="3" t="s">
        <v>50</v>
      </c>
      <c r="B9" s="3" t="s">
        <v>4</v>
      </c>
      <c r="C9" s="8">
        <v>43488</v>
      </c>
      <c r="D9" s="8">
        <v>9221</v>
      </c>
      <c r="E9" s="8">
        <v>17134</v>
      </c>
    </row>
    <row r="10" spans="1:5" x14ac:dyDescent="0.3">
      <c r="A10" s="3" t="s">
        <v>50</v>
      </c>
      <c r="B10" s="3" t="s">
        <v>5</v>
      </c>
      <c r="C10" s="8">
        <v>79660</v>
      </c>
      <c r="D10" s="8">
        <v>4819</v>
      </c>
      <c r="E10" s="8">
        <v>37421</v>
      </c>
    </row>
    <row r="11" spans="1:5" x14ac:dyDescent="0.3">
      <c r="A11" s="3" t="s">
        <v>50</v>
      </c>
      <c r="B11" s="3" t="s">
        <v>6</v>
      </c>
      <c r="C11" s="8">
        <v>18838</v>
      </c>
      <c r="D11" s="8">
        <v>8812</v>
      </c>
      <c r="E11" s="8">
        <v>5013</v>
      </c>
    </row>
    <row r="12" spans="1:5" x14ac:dyDescent="0.3">
      <c r="A12" s="3" t="s">
        <v>50</v>
      </c>
      <c r="B12" s="3" t="s">
        <v>7</v>
      </c>
      <c r="C12" s="8">
        <v>66066</v>
      </c>
      <c r="D12" s="8">
        <v>1793</v>
      </c>
      <c r="E12" s="8">
        <v>32137</v>
      </c>
    </row>
    <row r="13" spans="1:5" x14ac:dyDescent="0.3">
      <c r="A13" s="3" t="s">
        <v>50</v>
      </c>
      <c r="B13" s="3" t="s">
        <v>8</v>
      </c>
      <c r="C13" s="8">
        <v>30490</v>
      </c>
      <c r="D13" s="8">
        <v>3110</v>
      </c>
      <c r="E13" s="8">
        <v>13690</v>
      </c>
    </row>
    <row r="14" spans="1:5" x14ac:dyDescent="0.3">
      <c r="A14" s="3" t="s">
        <v>52</v>
      </c>
      <c r="B14" s="3" t="s">
        <v>9</v>
      </c>
      <c r="C14" s="8">
        <v>87391</v>
      </c>
      <c r="D14" s="8">
        <v>2435</v>
      </c>
      <c r="E14" s="8">
        <v>42478</v>
      </c>
    </row>
    <row r="15" spans="1:5" x14ac:dyDescent="0.3">
      <c r="A15" s="3" t="s">
        <v>53</v>
      </c>
      <c r="B15" s="3" t="s">
        <v>10</v>
      </c>
      <c r="C15" s="8">
        <v>66108</v>
      </c>
      <c r="D15" s="8">
        <v>6058</v>
      </c>
      <c r="E15" s="8">
        <v>30025</v>
      </c>
    </row>
    <row r="16" spans="1:5" x14ac:dyDescent="0.3">
      <c r="A16" s="3" t="s">
        <v>51</v>
      </c>
      <c r="B16" s="3" t="s">
        <v>11</v>
      </c>
      <c r="C16" s="8">
        <v>49941</v>
      </c>
      <c r="D16" s="8">
        <v>3405</v>
      </c>
      <c r="E16" s="8">
        <v>23268</v>
      </c>
    </row>
    <row r="17" spans="1:5" x14ac:dyDescent="0.3">
      <c r="A17" s="3" t="s">
        <v>52</v>
      </c>
      <c r="B17" s="3" t="s">
        <v>12</v>
      </c>
      <c r="C17" s="8">
        <v>88330</v>
      </c>
      <c r="D17" s="8">
        <v>1686</v>
      </c>
      <c r="E17" s="8">
        <v>43322</v>
      </c>
    </row>
    <row r="18" spans="1:5" x14ac:dyDescent="0.3">
      <c r="A18" s="3" t="s">
        <v>50</v>
      </c>
      <c r="B18" s="3" t="s">
        <v>13</v>
      </c>
      <c r="C18" s="8">
        <v>80260</v>
      </c>
      <c r="D18" s="8">
        <v>7344</v>
      </c>
      <c r="E18" s="8">
        <v>36458</v>
      </c>
    </row>
    <row r="19" spans="1:5" x14ac:dyDescent="0.3">
      <c r="A19" s="3" t="s">
        <v>50</v>
      </c>
      <c r="B19" s="3" t="s">
        <v>14</v>
      </c>
      <c r="C19" s="8">
        <v>58449</v>
      </c>
      <c r="D19" s="8">
        <v>8872</v>
      </c>
      <c r="E19" s="8">
        <v>24789</v>
      </c>
    </row>
    <row r="20" spans="1:5" x14ac:dyDescent="0.3">
      <c r="A20" s="3" t="s">
        <v>54</v>
      </c>
      <c r="B20" s="3" t="s">
        <v>15</v>
      </c>
      <c r="C20" s="8">
        <v>96985</v>
      </c>
      <c r="D20" s="8">
        <v>3066</v>
      </c>
      <c r="E20" s="8">
        <v>46960</v>
      </c>
    </row>
    <row r="21" spans="1:5" x14ac:dyDescent="0.3">
      <c r="A21" s="3" t="s">
        <v>52</v>
      </c>
      <c r="B21" s="3" t="s">
        <v>16</v>
      </c>
      <c r="C21" s="8">
        <v>99724</v>
      </c>
      <c r="D21" s="8">
        <v>4368</v>
      </c>
      <c r="E21" s="8">
        <v>47678</v>
      </c>
    </row>
    <row r="22" spans="1:5" x14ac:dyDescent="0.3">
      <c r="A22" s="3" t="s">
        <v>51</v>
      </c>
      <c r="B22" s="3" t="s">
        <v>17</v>
      </c>
      <c r="C22" s="8">
        <v>69706</v>
      </c>
      <c r="D22" s="8">
        <v>4952</v>
      </c>
      <c r="E22" s="8">
        <v>32377</v>
      </c>
    </row>
    <row r="23" spans="1:5" x14ac:dyDescent="0.3">
      <c r="A23" s="3" t="s">
        <v>50</v>
      </c>
      <c r="B23" s="3" t="s">
        <v>18</v>
      </c>
      <c r="C23" s="8">
        <v>72670</v>
      </c>
      <c r="D23" s="8">
        <v>1265</v>
      </c>
      <c r="E23" s="8">
        <v>35703</v>
      </c>
    </row>
    <row r="24" spans="1:5" x14ac:dyDescent="0.3">
      <c r="A24" s="3" t="s">
        <v>51</v>
      </c>
      <c r="B24" s="3" t="s">
        <v>19</v>
      </c>
      <c r="C24" s="8">
        <v>94885</v>
      </c>
      <c r="D24" s="8">
        <v>6748</v>
      </c>
      <c r="E24" s="8">
        <v>44069</v>
      </c>
    </row>
    <row r="25" spans="1:5" x14ac:dyDescent="0.3">
      <c r="A25" s="3" t="s">
        <v>54</v>
      </c>
      <c r="B25" s="3" t="s">
        <v>20</v>
      </c>
      <c r="C25" s="8">
        <v>80860</v>
      </c>
      <c r="D25" s="8">
        <v>6518</v>
      </c>
      <c r="E25" s="8">
        <v>37171</v>
      </c>
    </row>
    <row r="26" spans="1:5" x14ac:dyDescent="0.3">
      <c r="A26" s="3" t="s">
        <v>51</v>
      </c>
      <c r="B26" s="3" t="s">
        <v>21</v>
      </c>
      <c r="C26" s="8">
        <v>68506</v>
      </c>
      <c r="D26" s="8">
        <v>6547</v>
      </c>
      <c r="E26" s="8">
        <v>30980</v>
      </c>
    </row>
    <row r="27" spans="1:5" x14ac:dyDescent="0.3">
      <c r="A27" s="3" t="s">
        <v>54</v>
      </c>
      <c r="B27" s="3" t="s">
        <v>22</v>
      </c>
      <c r="C27" s="8">
        <v>39070</v>
      </c>
      <c r="D27" s="8">
        <v>8174</v>
      </c>
      <c r="E27" s="8">
        <v>15448</v>
      </c>
    </row>
    <row r="28" spans="1:5" x14ac:dyDescent="0.3">
      <c r="A28" s="3" t="s">
        <v>55</v>
      </c>
      <c r="B28" s="3" t="s">
        <v>23</v>
      </c>
      <c r="C28" s="8">
        <v>14558</v>
      </c>
      <c r="D28" s="8">
        <v>6652</v>
      </c>
      <c r="E28" s="8">
        <v>3953</v>
      </c>
    </row>
    <row r="29" spans="1:5" x14ac:dyDescent="0.3">
      <c r="A29" s="3" t="s">
        <v>51</v>
      </c>
      <c r="B29" s="3" t="s">
        <v>24</v>
      </c>
      <c r="C29" s="8">
        <v>94569</v>
      </c>
      <c r="D29" s="8">
        <v>5461</v>
      </c>
      <c r="E29" s="8">
        <v>44554</v>
      </c>
    </row>
    <row r="30" spans="1:5" x14ac:dyDescent="0.3">
      <c r="A30" s="3" t="s">
        <v>52</v>
      </c>
      <c r="B30" s="3" t="s">
        <v>25</v>
      </c>
      <c r="C30" s="8">
        <v>66766</v>
      </c>
      <c r="D30" s="8">
        <v>6867</v>
      </c>
      <c r="E30" s="8">
        <v>29950</v>
      </c>
    </row>
    <row r="31" spans="1:5" x14ac:dyDescent="0.3">
      <c r="A31" s="3" t="s">
        <v>50</v>
      </c>
      <c r="B31" s="3" t="s">
        <v>26</v>
      </c>
      <c r="C31" s="8">
        <v>62022</v>
      </c>
      <c r="D31" s="8">
        <v>4241</v>
      </c>
      <c r="E31" s="8">
        <v>28891</v>
      </c>
    </row>
    <row r="32" spans="1:5" x14ac:dyDescent="0.3">
      <c r="A32" s="3" t="s">
        <v>52</v>
      </c>
      <c r="B32" s="3" t="s">
        <v>27</v>
      </c>
      <c r="C32" s="8">
        <v>52107</v>
      </c>
      <c r="D32" s="8">
        <v>2935</v>
      </c>
      <c r="E32" s="8">
        <v>24586</v>
      </c>
    </row>
    <row r="33" spans="1:5" x14ac:dyDescent="0.3">
      <c r="A33" s="3" t="s">
        <v>51</v>
      </c>
      <c r="B33" s="3" t="s">
        <v>28</v>
      </c>
      <c r="C33" s="8">
        <v>71981</v>
      </c>
      <c r="D33" s="8">
        <v>7974</v>
      </c>
      <c r="E33" s="8">
        <v>32004</v>
      </c>
    </row>
    <row r="34" spans="1:5" x14ac:dyDescent="0.3">
      <c r="A34" s="3" t="s">
        <v>50</v>
      </c>
      <c r="B34" s="3" t="s">
        <v>29</v>
      </c>
      <c r="C34" s="8">
        <v>62377</v>
      </c>
      <c r="D34" s="8">
        <v>4470</v>
      </c>
      <c r="E34" s="8">
        <v>28954</v>
      </c>
    </row>
    <row r="35" spans="1:5" x14ac:dyDescent="0.3">
      <c r="A35" s="3" t="s">
        <v>51</v>
      </c>
      <c r="B35" s="3" t="s">
        <v>30</v>
      </c>
      <c r="C35" s="8">
        <v>85738</v>
      </c>
      <c r="D35" s="8">
        <v>2132</v>
      </c>
      <c r="E35" s="8">
        <v>41803</v>
      </c>
    </row>
    <row r="36" spans="1:5" x14ac:dyDescent="0.3">
      <c r="A36" s="3" t="s">
        <v>52</v>
      </c>
      <c r="B36" s="3" t="s">
        <v>31</v>
      </c>
      <c r="C36" s="8">
        <v>59049</v>
      </c>
      <c r="D36" s="8">
        <v>7714</v>
      </c>
      <c r="E36" s="8">
        <v>25668</v>
      </c>
    </row>
    <row r="37" spans="1:5" x14ac:dyDescent="0.3">
      <c r="A37" s="3" t="s">
        <v>55</v>
      </c>
      <c r="B37" s="3" t="s">
        <v>32</v>
      </c>
      <c r="C37" s="8">
        <v>17687</v>
      </c>
      <c r="D37" s="8">
        <v>2470</v>
      </c>
      <c r="E37" s="8">
        <v>7609</v>
      </c>
    </row>
    <row r="38" spans="1:5" x14ac:dyDescent="0.3">
      <c r="A38" s="3" t="s">
        <v>52</v>
      </c>
      <c r="B38" s="3" t="s">
        <v>33</v>
      </c>
      <c r="C38" s="8">
        <v>45059</v>
      </c>
      <c r="D38" s="8">
        <v>5978</v>
      </c>
      <c r="E38" s="8">
        <v>19541</v>
      </c>
    </row>
    <row r="39" spans="1:5" x14ac:dyDescent="0.3">
      <c r="A39" s="3" t="s">
        <v>56</v>
      </c>
      <c r="B39" s="3" t="s">
        <v>34</v>
      </c>
      <c r="C39" s="8">
        <v>73815</v>
      </c>
      <c r="D39" s="8">
        <v>9012</v>
      </c>
      <c r="E39" s="8">
        <v>32402</v>
      </c>
    </row>
    <row r="40" spans="1:5" x14ac:dyDescent="0.3">
      <c r="A40" s="3" t="s">
        <v>50</v>
      </c>
      <c r="B40" s="3" t="s">
        <v>35</v>
      </c>
      <c r="C40" s="8">
        <v>50263</v>
      </c>
      <c r="D40" s="8">
        <v>4612</v>
      </c>
      <c r="E40" s="8">
        <v>22826</v>
      </c>
    </row>
    <row r="41" spans="1:5" x14ac:dyDescent="0.3">
      <c r="A41" s="3" t="s">
        <v>55</v>
      </c>
      <c r="B41" s="3" t="s">
        <v>36</v>
      </c>
      <c r="C41" s="8">
        <v>88606</v>
      </c>
      <c r="D41" s="8">
        <v>7176</v>
      </c>
      <c r="E41" s="8">
        <v>40715</v>
      </c>
    </row>
    <row r="42" spans="1:5" x14ac:dyDescent="0.3">
      <c r="A42" s="3" t="s">
        <v>54</v>
      </c>
      <c r="B42" s="3" t="s">
        <v>37</v>
      </c>
      <c r="C42" s="8">
        <v>10014</v>
      </c>
      <c r="D42" s="8">
        <v>3100</v>
      </c>
      <c r="E42" s="8">
        <v>3457</v>
      </c>
    </row>
    <row r="43" spans="1:5" x14ac:dyDescent="0.3">
      <c r="A43" s="3" t="s">
        <v>50</v>
      </c>
      <c r="B43" s="3" t="s">
        <v>38</v>
      </c>
      <c r="C43" s="8">
        <v>43792</v>
      </c>
      <c r="D43" s="8">
        <v>8822</v>
      </c>
      <c r="E43" s="8">
        <v>17485</v>
      </c>
    </row>
    <row r="44" spans="1:5" x14ac:dyDescent="0.3">
      <c r="A44" s="3" t="s">
        <v>50</v>
      </c>
      <c r="B44" s="3" t="s">
        <v>39</v>
      </c>
      <c r="C44" s="8">
        <v>28326</v>
      </c>
      <c r="D44" s="8">
        <v>3542</v>
      </c>
      <c r="E44" s="8">
        <v>12392</v>
      </c>
    </row>
    <row r="45" spans="1:5" x14ac:dyDescent="0.3">
      <c r="A45" s="3" t="s">
        <v>53</v>
      </c>
      <c r="B45" s="3" t="s">
        <v>40</v>
      </c>
      <c r="C45" s="8">
        <v>17810</v>
      </c>
      <c r="D45" s="8">
        <v>5021</v>
      </c>
      <c r="E45" s="8">
        <v>6395</v>
      </c>
    </row>
    <row r="46" spans="1:5" x14ac:dyDescent="0.3">
      <c r="A46" s="3" t="s">
        <v>57</v>
      </c>
      <c r="B46" s="3" t="s">
        <v>41</v>
      </c>
      <c r="C46" s="8">
        <v>30165</v>
      </c>
      <c r="D46" s="8">
        <v>9186</v>
      </c>
      <c r="E46" s="8">
        <v>10490</v>
      </c>
    </row>
    <row r="47" spans="1:5" x14ac:dyDescent="0.3">
      <c r="A47" s="3" t="s">
        <v>58</v>
      </c>
      <c r="B47" s="3" t="s">
        <v>42</v>
      </c>
      <c r="C47" s="8">
        <v>19837</v>
      </c>
      <c r="D47" s="8">
        <v>6763</v>
      </c>
      <c r="E47" s="8">
        <v>6537</v>
      </c>
    </row>
    <row r="48" spans="1:5" x14ac:dyDescent="0.3">
      <c r="A48" s="3" t="s">
        <v>53</v>
      </c>
      <c r="B48" s="3" t="s">
        <v>43</v>
      </c>
      <c r="C48" s="8">
        <v>31286</v>
      </c>
      <c r="D48" s="8">
        <v>8191</v>
      </c>
      <c r="E48" s="8">
        <v>11548</v>
      </c>
    </row>
    <row r="49" spans="1:5" x14ac:dyDescent="0.3">
      <c r="A49" s="3" t="s">
        <v>51</v>
      </c>
      <c r="B49" s="3" t="s">
        <v>44</v>
      </c>
      <c r="C49" s="8">
        <v>27876</v>
      </c>
      <c r="D49" s="8">
        <v>4372</v>
      </c>
      <c r="E49" s="8">
        <v>11752</v>
      </c>
    </row>
    <row r="50" spans="1:5" x14ac:dyDescent="0.3">
      <c r="A50" s="3" t="s">
        <v>56</v>
      </c>
      <c r="B50" s="3" t="s">
        <v>45</v>
      </c>
      <c r="C50" s="8">
        <v>39503</v>
      </c>
      <c r="D50" s="8">
        <v>2642</v>
      </c>
      <c r="E50" s="8">
        <v>18431</v>
      </c>
    </row>
    <row r="51" spans="1:5" x14ac:dyDescent="0.3">
      <c r="A51" s="3" t="s">
        <v>54</v>
      </c>
      <c r="B51" s="3" t="s">
        <v>46</v>
      </c>
      <c r="C51" s="8">
        <v>53323</v>
      </c>
      <c r="D51" s="8">
        <v>1324</v>
      </c>
      <c r="E51" s="8">
        <v>26000</v>
      </c>
    </row>
    <row r="52" spans="1:5" x14ac:dyDescent="0.3">
      <c r="A52" s="3" t="s">
        <v>51</v>
      </c>
      <c r="B52" s="3" t="s">
        <v>47</v>
      </c>
      <c r="C52" s="8">
        <v>57901</v>
      </c>
      <c r="D52" s="8">
        <v>8603</v>
      </c>
      <c r="E52" s="8">
        <v>24649</v>
      </c>
    </row>
    <row r="53" spans="1:5" x14ac:dyDescent="0.3">
      <c r="A53" s="3" t="s">
        <v>50</v>
      </c>
      <c r="B53" s="3" t="s">
        <v>48</v>
      </c>
      <c r="C53" s="8">
        <v>69346</v>
      </c>
      <c r="D53" s="8">
        <v>5751</v>
      </c>
      <c r="E53" s="8">
        <v>31798</v>
      </c>
    </row>
    <row r="54" spans="1:5" x14ac:dyDescent="0.3">
      <c r="A54" s="3" t="s">
        <v>52</v>
      </c>
      <c r="B54" s="3" t="s">
        <v>49</v>
      </c>
      <c r="C54" s="8">
        <v>58741</v>
      </c>
      <c r="D54" s="8">
        <v>4183</v>
      </c>
      <c r="E54" s="8">
        <v>27279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900F-E9B5-4E0E-809F-E0730F7E9084}">
  <dimension ref="A1:E54"/>
  <sheetViews>
    <sheetView workbookViewId="0"/>
  </sheetViews>
  <sheetFormatPr defaultRowHeight="15.6" x14ac:dyDescent="0.3"/>
  <cols>
    <col min="1" max="5" width="20.77734375" style="3" customWidth="1"/>
    <col min="6" max="16384" width="8.88671875" style="3"/>
  </cols>
  <sheetData>
    <row r="1" spans="1:5" ht="25.8" x14ac:dyDescent="0.3">
      <c r="A1" s="5" t="s">
        <v>69</v>
      </c>
      <c r="B1" s="2"/>
    </row>
    <row r="2" spans="1:5" ht="18" x14ac:dyDescent="0.3">
      <c r="A2" s="4" t="s">
        <v>62</v>
      </c>
    </row>
    <row r="4" spans="1:5" x14ac:dyDescent="0.3">
      <c r="A4" s="3" t="s">
        <v>59</v>
      </c>
      <c r="B4" s="3" t="s">
        <v>60</v>
      </c>
      <c r="C4" s="3" t="s">
        <v>62</v>
      </c>
      <c r="D4" s="3" t="s">
        <v>63</v>
      </c>
      <c r="E4" s="3" t="s">
        <v>64</v>
      </c>
    </row>
    <row r="5" spans="1:5" x14ac:dyDescent="0.3">
      <c r="A5" s="3" t="s">
        <v>50</v>
      </c>
      <c r="B5" s="3" t="s">
        <v>0</v>
      </c>
      <c r="C5" s="8">
        <v>34203</v>
      </c>
      <c r="D5" s="8">
        <v>7315</v>
      </c>
      <c r="E5" s="8">
        <v>13444</v>
      </c>
    </row>
    <row r="6" spans="1:5" x14ac:dyDescent="0.3">
      <c r="A6" s="3" t="s">
        <v>51</v>
      </c>
      <c r="B6" s="3" t="s">
        <v>1</v>
      </c>
      <c r="C6" s="8">
        <v>63479</v>
      </c>
      <c r="D6" s="8">
        <v>8645</v>
      </c>
      <c r="E6" s="8">
        <v>27417</v>
      </c>
    </row>
    <row r="7" spans="1:5" x14ac:dyDescent="0.3">
      <c r="A7" s="3" t="s">
        <v>50</v>
      </c>
      <c r="B7" s="3" t="s">
        <v>2</v>
      </c>
      <c r="C7" s="8">
        <v>14952</v>
      </c>
      <c r="D7" s="8">
        <v>5939</v>
      </c>
      <c r="E7" s="8">
        <v>4507</v>
      </c>
    </row>
    <row r="8" spans="1:5" x14ac:dyDescent="0.3">
      <c r="A8" s="3" t="s">
        <v>50</v>
      </c>
      <c r="B8" s="3" t="s">
        <v>3</v>
      </c>
      <c r="C8" s="8">
        <v>39109</v>
      </c>
      <c r="D8" s="8">
        <v>9547</v>
      </c>
      <c r="E8" s="8">
        <v>14781</v>
      </c>
    </row>
    <row r="9" spans="1:5" x14ac:dyDescent="0.3">
      <c r="A9" s="3" t="s">
        <v>50</v>
      </c>
      <c r="B9" s="3" t="s">
        <v>4</v>
      </c>
      <c r="C9" s="8">
        <v>29136</v>
      </c>
      <c r="D9" s="8">
        <v>9931</v>
      </c>
      <c r="E9" s="8">
        <v>9603</v>
      </c>
    </row>
    <row r="10" spans="1:5" x14ac:dyDescent="0.3">
      <c r="A10" s="3" t="s">
        <v>50</v>
      </c>
      <c r="B10" s="3" t="s">
        <v>5</v>
      </c>
      <c r="C10" s="8">
        <v>88059</v>
      </c>
      <c r="D10" s="8">
        <v>7903</v>
      </c>
      <c r="E10" s="8">
        <v>40078</v>
      </c>
    </row>
    <row r="11" spans="1:5" x14ac:dyDescent="0.3">
      <c r="A11" s="3" t="s">
        <v>50</v>
      </c>
      <c r="B11" s="3" t="s">
        <v>6</v>
      </c>
      <c r="C11" s="8">
        <v>32210</v>
      </c>
      <c r="D11" s="8">
        <v>8411</v>
      </c>
      <c r="E11" s="8">
        <v>11900</v>
      </c>
    </row>
    <row r="12" spans="1:5" x14ac:dyDescent="0.3">
      <c r="A12" s="3" t="s">
        <v>50</v>
      </c>
      <c r="B12" s="3" t="s">
        <v>7</v>
      </c>
      <c r="C12" s="8">
        <v>53442</v>
      </c>
      <c r="D12" s="8">
        <v>3226</v>
      </c>
      <c r="E12" s="8">
        <v>25108</v>
      </c>
    </row>
    <row r="13" spans="1:5" x14ac:dyDescent="0.3">
      <c r="A13" s="3" t="s">
        <v>50</v>
      </c>
      <c r="B13" s="3" t="s">
        <v>8</v>
      </c>
      <c r="C13" s="8">
        <v>79083</v>
      </c>
      <c r="D13" s="8">
        <v>8581</v>
      </c>
      <c r="E13" s="8">
        <v>35251</v>
      </c>
    </row>
    <row r="14" spans="1:5" x14ac:dyDescent="0.3">
      <c r="A14" s="3" t="s">
        <v>52</v>
      </c>
      <c r="B14" s="3" t="s">
        <v>9</v>
      </c>
      <c r="C14" s="8">
        <v>47633</v>
      </c>
      <c r="D14" s="8">
        <v>3094</v>
      </c>
      <c r="E14" s="8">
        <v>22270</v>
      </c>
    </row>
    <row r="15" spans="1:5" x14ac:dyDescent="0.3">
      <c r="A15" s="3" t="s">
        <v>53</v>
      </c>
      <c r="B15" s="3" t="s">
        <v>10</v>
      </c>
      <c r="C15" s="8">
        <v>73275</v>
      </c>
      <c r="D15" s="8">
        <v>4014</v>
      </c>
      <c r="E15" s="8">
        <v>34631</v>
      </c>
    </row>
    <row r="16" spans="1:5" x14ac:dyDescent="0.3">
      <c r="A16" s="3" t="s">
        <v>51</v>
      </c>
      <c r="B16" s="3" t="s">
        <v>11</v>
      </c>
      <c r="C16" s="8">
        <v>61796</v>
      </c>
      <c r="D16" s="8">
        <v>3068</v>
      </c>
      <c r="E16" s="8">
        <v>29364</v>
      </c>
    </row>
    <row r="17" spans="1:5" x14ac:dyDescent="0.3">
      <c r="A17" s="3" t="s">
        <v>52</v>
      </c>
      <c r="B17" s="3" t="s">
        <v>12</v>
      </c>
      <c r="C17" s="8">
        <v>97029</v>
      </c>
      <c r="D17" s="8">
        <v>2207</v>
      </c>
      <c r="E17" s="8">
        <v>47411</v>
      </c>
    </row>
    <row r="18" spans="1:5" x14ac:dyDescent="0.3">
      <c r="A18" s="3" t="s">
        <v>50</v>
      </c>
      <c r="B18" s="3" t="s">
        <v>13</v>
      </c>
      <c r="C18" s="8">
        <v>85725</v>
      </c>
      <c r="D18" s="8">
        <v>9965</v>
      </c>
      <c r="E18" s="8">
        <v>37880</v>
      </c>
    </row>
    <row r="19" spans="1:5" x14ac:dyDescent="0.3">
      <c r="A19" s="3" t="s">
        <v>50</v>
      </c>
      <c r="B19" s="3" t="s">
        <v>14</v>
      </c>
      <c r="C19" s="8">
        <v>80884</v>
      </c>
      <c r="D19" s="8">
        <v>9349</v>
      </c>
      <c r="E19" s="8">
        <v>35768</v>
      </c>
    </row>
    <row r="20" spans="1:5" x14ac:dyDescent="0.3">
      <c r="A20" s="3" t="s">
        <v>54</v>
      </c>
      <c r="B20" s="3" t="s">
        <v>15</v>
      </c>
      <c r="C20" s="8">
        <v>71525</v>
      </c>
      <c r="D20" s="8">
        <v>8088</v>
      </c>
      <c r="E20" s="8">
        <v>31719</v>
      </c>
    </row>
    <row r="21" spans="1:5" x14ac:dyDescent="0.3">
      <c r="A21" s="3" t="s">
        <v>52</v>
      </c>
      <c r="B21" s="3" t="s">
        <v>16</v>
      </c>
      <c r="C21" s="8">
        <v>38055</v>
      </c>
      <c r="D21" s="8">
        <v>6695</v>
      </c>
      <c r="E21" s="8">
        <v>15680</v>
      </c>
    </row>
    <row r="22" spans="1:5" x14ac:dyDescent="0.3">
      <c r="A22" s="3" t="s">
        <v>51</v>
      </c>
      <c r="B22" s="3" t="s">
        <v>17</v>
      </c>
      <c r="C22" s="8">
        <v>52778</v>
      </c>
      <c r="D22" s="8">
        <v>3686</v>
      </c>
      <c r="E22" s="8">
        <v>24546</v>
      </c>
    </row>
    <row r="23" spans="1:5" x14ac:dyDescent="0.3">
      <c r="A23" s="3" t="s">
        <v>50</v>
      </c>
      <c r="B23" s="3" t="s">
        <v>18</v>
      </c>
      <c r="C23" s="8">
        <v>47609</v>
      </c>
      <c r="D23" s="8">
        <v>9829</v>
      </c>
      <c r="E23" s="8">
        <v>18890</v>
      </c>
    </row>
    <row r="24" spans="1:5" x14ac:dyDescent="0.3">
      <c r="A24" s="3" t="s">
        <v>51</v>
      </c>
      <c r="B24" s="3" t="s">
        <v>19</v>
      </c>
      <c r="C24" s="8">
        <v>30280</v>
      </c>
      <c r="D24" s="8">
        <v>2687</v>
      </c>
      <c r="E24" s="8">
        <v>13797</v>
      </c>
    </row>
    <row r="25" spans="1:5" x14ac:dyDescent="0.3">
      <c r="A25" s="3" t="s">
        <v>54</v>
      </c>
      <c r="B25" s="3" t="s">
        <v>20</v>
      </c>
      <c r="C25" s="8">
        <v>83533</v>
      </c>
      <c r="D25" s="8">
        <v>2977</v>
      </c>
      <c r="E25" s="8">
        <v>40278</v>
      </c>
    </row>
    <row r="26" spans="1:5" x14ac:dyDescent="0.3">
      <c r="A26" s="3" t="s">
        <v>51</v>
      </c>
      <c r="B26" s="3" t="s">
        <v>21</v>
      </c>
      <c r="C26" s="8">
        <v>69460</v>
      </c>
      <c r="D26" s="8">
        <v>4288</v>
      </c>
      <c r="E26" s="8">
        <v>32586</v>
      </c>
    </row>
    <row r="27" spans="1:5" x14ac:dyDescent="0.3">
      <c r="A27" s="3" t="s">
        <v>54</v>
      </c>
      <c r="B27" s="3" t="s">
        <v>22</v>
      </c>
      <c r="C27" s="8">
        <v>60665</v>
      </c>
      <c r="D27" s="8">
        <v>8935</v>
      </c>
      <c r="E27" s="8">
        <v>25865</v>
      </c>
    </row>
    <row r="28" spans="1:5" x14ac:dyDescent="0.3">
      <c r="A28" s="3" t="s">
        <v>55</v>
      </c>
      <c r="B28" s="3" t="s">
        <v>23</v>
      </c>
      <c r="C28" s="8">
        <v>22848</v>
      </c>
      <c r="D28" s="8">
        <v>8017</v>
      </c>
      <c r="E28" s="8">
        <v>7416</v>
      </c>
    </row>
    <row r="29" spans="1:5" x14ac:dyDescent="0.3">
      <c r="A29" s="3" t="s">
        <v>51</v>
      </c>
      <c r="B29" s="3" t="s">
        <v>24</v>
      </c>
      <c r="C29" s="8">
        <v>44597</v>
      </c>
      <c r="D29" s="8">
        <v>9492</v>
      </c>
      <c r="E29" s="8">
        <v>17553</v>
      </c>
    </row>
    <row r="30" spans="1:5" x14ac:dyDescent="0.3">
      <c r="A30" s="3" t="s">
        <v>52</v>
      </c>
      <c r="B30" s="3" t="s">
        <v>25</v>
      </c>
      <c r="C30" s="8">
        <v>75465</v>
      </c>
      <c r="D30" s="8">
        <v>5288</v>
      </c>
      <c r="E30" s="8">
        <v>35089</v>
      </c>
    </row>
    <row r="31" spans="1:5" x14ac:dyDescent="0.3">
      <c r="A31" s="3" t="s">
        <v>50</v>
      </c>
      <c r="B31" s="3" t="s">
        <v>26</v>
      </c>
      <c r="C31" s="8">
        <v>41886</v>
      </c>
      <c r="D31" s="8">
        <v>4111</v>
      </c>
      <c r="E31" s="8">
        <v>18888</v>
      </c>
    </row>
    <row r="32" spans="1:5" x14ac:dyDescent="0.3">
      <c r="A32" s="3" t="s">
        <v>52</v>
      </c>
      <c r="B32" s="3" t="s">
        <v>27</v>
      </c>
      <c r="C32" s="8">
        <v>90579</v>
      </c>
      <c r="D32" s="8">
        <v>3285</v>
      </c>
      <c r="E32" s="8">
        <v>43647</v>
      </c>
    </row>
    <row r="33" spans="1:5" x14ac:dyDescent="0.3">
      <c r="A33" s="3" t="s">
        <v>51</v>
      </c>
      <c r="B33" s="3" t="s">
        <v>28</v>
      </c>
      <c r="C33" s="8">
        <v>81036</v>
      </c>
      <c r="D33" s="8">
        <v>5836</v>
      </c>
      <c r="E33" s="8">
        <v>37600</v>
      </c>
    </row>
    <row r="34" spans="1:5" x14ac:dyDescent="0.3">
      <c r="A34" s="3" t="s">
        <v>50</v>
      </c>
      <c r="B34" s="3" t="s">
        <v>29</v>
      </c>
      <c r="C34" s="8">
        <v>83273</v>
      </c>
      <c r="D34" s="8">
        <v>3178</v>
      </c>
      <c r="E34" s="8">
        <v>40048</v>
      </c>
    </row>
    <row r="35" spans="1:5" x14ac:dyDescent="0.3">
      <c r="A35" s="3" t="s">
        <v>51</v>
      </c>
      <c r="B35" s="3" t="s">
        <v>30</v>
      </c>
      <c r="C35" s="8">
        <v>41825</v>
      </c>
      <c r="D35" s="8">
        <v>4578</v>
      </c>
      <c r="E35" s="8">
        <v>18624</v>
      </c>
    </row>
    <row r="36" spans="1:5" x14ac:dyDescent="0.3">
      <c r="A36" s="3" t="s">
        <v>52</v>
      </c>
      <c r="B36" s="3" t="s">
        <v>31</v>
      </c>
      <c r="C36" s="8">
        <v>68134</v>
      </c>
      <c r="D36" s="8">
        <v>7582</v>
      </c>
      <c r="E36" s="8">
        <v>30276</v>
      </c>
    </row>
    <row r="37" spans="1:5" x14ac:dyDescent="0.3">
      <c r="A37" s="3" t="s">
        <v>55</v>
      </c>
      <c r="B37" s="3" t="s">
        <v>32</v>
      </c>
      <c r="C37" s="8">
        <v>57065</v>
      </c>
      <c r="D37" s="8">
        <v>9845</v>
      </c>
      <c r="E37" s="8">
        <v>23610</v>
      </c>
    </row>
    <row r="38" spans="1:5" x14ac:dyDescent="0.3">
      <c r="A38" s="3" t="s">
        <v>52</v>
      </c>
      <c r="B38" s="3" t="s">
        <v>33</v>
      </c>
      <c r="C38" s="8">
        <v>47322</v>
      </c>
      <c r="D38" s="8">
        <v>7596</v>
      </c>
      <c r="E38" s="8">
        <v>19863</v>
      </c>
    </row>
    <row r="39" spans="1:5" x14ac:dyDescent="0.3">
      <c r="A39" s="3" t="s">
        <v>56</v>
      </c>
      <c r="B39" s="3" t="s">
        <v>34</v>
      </c>
      <c r="C39" s="8">
        <v>10383</v>
      </c>
      <c r="D39" s="8">
        <v>6000</v>
      </c>
      <c r="E39" s="8">
        <v>2192</v>
      </c>
    </row>
    <row r="40" spans="1:5" x14ac:dyDescent="0.3">
      <c r="A40" s="3" t="s">
        <v>50</v>
      </c>
      <c r="B40" s="3" t="s">
        <v>35</v>
      </c>
      <c r="C40" s="8">
        <v>72769</v>
      </c>
      <c r="D40" s="8">
        <v>3946</v>
      </c>
      <c r="E40" s="8">
        <v>34412</v>
      </c>
    </row>
    <row r="41" spans="1:5" x14ac:dyDescent="0.3">
      <c r="A41" s="3" t="s">
        <v>55</v>
      </c>
      <c r="B41" s="3" t="s">
        <v>36</v>
      </c>
      <c r="C41" s="8">
        <v>52737</v>
      </c>
      <c r="D41" s="8">
        <v>9557</v>
      </c>
      <c r="E41" s="8">
        <v>21590</v>
      </c>
    </row>
    <row r="42" spans="1:5" x14ac:dyDescent="0.3">
      <c r="A42" s="3" t="s">
        <v>54</v>
      </c>
      <c r="B42" s="3" t="s">
        <v>37</v>
      </c>
      <c r="C42" s="8">
        <v>13480</v>
      </c>
      <c r="D42" s="8">
        <v>9604</v>
      </c>
      <c r="E42" s="8">
        <v>1938</v>
      </c>
    </row>
    <row r="43" spans="1:5" x14ac:dyDescent="0.3">
      <c r="A43" s="3" t="s">
        <v>50</v>
      </c>
      <c r="B43" s="3" t="s">
        <v>38</v>
      </c>
      <c r="C43" s="8">
        <v>16990</v>
      </c>
      <c r="D43" s="8">
        <v>5931</v>
      </c>
      <c r="E43" s="8">
        <v>5530</v>
      </c>
    </row>
    <row r="44" spans="1:5" x14ac:dyDescent="0.3">
      <c r="A44" s="3" t="s">
        <v>50</v>
      </c>
      <c r="B44" s="3" t="s">
        <v>39</v>
      </c>
      <c r="C44" s="8">
        <v>41306</v>
      </c>
      <c r="D44" s="8">
        <v>5246</v>
      </c>
      <c r="E44" s="8">
        <v>18030</v>
      </c>
    </row>
    <row r="45" spans="1:5" x14ac:dyDescent="0.3">
      <c r="A45" s="3" t="s">
        <v>53</v>
      </c>
      <c r="B45" s="3" t="s">
        <v>40</v>
      </c>
      <c r="C45" s="8">
        <v>21935</v>
      </c>
      <c r="D45" s="8">
        <v>9159</v>
      </c>
      <c r="E45" s="8">
        <v>6388</v>
      </c>
    </row>
    <row r="46" spans="1:5" x14ac:dyDescent="0.3">
      <c r="A46" s="3" t="s">
        <v>57</v>
      </c>
      <c r="B46" s="3" t="s">
        <v>41</v>
      </c>
      <c r="C46" s="8">
        <v>69589</v>
      </c>
      <c r="D46" s="8">
        <v>5179</v>
      </c>
      <c r="E46" s="8">
        <v>32205</v>
      </c>
    </row>
    <row r="47" spans="1:5" x14ac:dyDescent="0.3">
      <c r="A47" s="3" t="s">
        <v>58</v>
      </c>
      <c r="B47" s="3" t="s">
        <v>42</v>
      </c>
      <c r="C47" s="8">
        <v>44918</v>
      </c>
      <c r="D47" s="8">
        <v>4596</v>
      </c>
      <c r="E47" s="8">
        <v>20161</v>
      </c>
    </row>
    <row r="48" spans="1:5" x14ac:dyDescent="0.3">
      <c r="A48" s="3" t="s">
        <v>53</v>
      </c>
      <c r="B48" s="3" t="s">
        <v>43</v>
      </c>
      <c r="C48" s="8">
        <v>58556</v>
      </c>
      <c r="D48" s="8">
        <v>2185</v>
      </c>
      <c r="E48" s="8">
        <v>28186</v>
      </c>
    </row>
    <row r="49" spans="1:5" x14ac:dyDescent="0.3">
      <c r="A49" s="3" t="s">
        <v>51</v>
      </c>
      <c r="B49" s="3" t="s">
        <v>44</v>
      </c>
      <c r="C49" s="8">
        <v>85284</v>
      </c>
      <c r="D49" s="8">
        <v>2589</v>
      </c>
      <c r="E49" s="8">
        <v>41348</v>
      </c>
    </row>
    <row r="50" spans="1:5" x14ac:dyDescent="0.3">
      <c r="A50" s="3" t="s">
        <v>56</v>
      </c>
      <c r="B50" s="3" t="s">
        <v>45</v>
      </c>
      <c r="C50" s="8">
        <v>99670</v>
      </c>
      <c r="D50" s="8">
        <v>6025</v>
      </c>
      <c r="E50" s="8">
        <v>46823</v>
      </c>
    </row>
    <row r="51" spans="1:5" x14ac:dyDescent="0.3">
      <c r="A51" s="3" t="s">
        <v>54</v>
      </c>
      <c r="B51" s="3" t="s">
        <v>46</v>
      </c>
      <c r="C51" s="8">
        <v>31877</v>
      </c>
      <c r="D51" s="8">
        <v>7123</v>
      </c>
      <c r="E51" s="8">
        <v>12377</v>
      </c>
    </row>
    <row r="52" spans="1:5" x14ac:dyDescent="0.3">
      <c r="A52" s="3" t="s">
        <v>51</v>
      </c>
      <c r="B52" s="3" t="s">
        <v>47</v>
      </c>
      <c r="C52" s="8">
        <v>11249</v>
      </c>
      <c r="D52" s="8">
        <v>4706</v>
      </c>
      <c r="E52" s="8">
        <v>3272</v>
      </c>
    </row>
    <row r="53" spans="1:5" x14ac:dyDescent="0.3">
      <c r="A53" s="3" t="s">
        <v>50</v>
      </c>
      <c r="B53" s="3" t="s">
        <v>48</v>
      </c>
      <c r="C53" s="8">
        <v>49396</v>
      </c>
      <c r="D53" s="8">
        <v>8408</v>
      </c>
      <c r="E53" s="8">
        <v>20494</v>
      </c>
    </row>
    <row r="54" spans="1:5" x14ac:dyDescent="0.3">
      <c r="A54" s="3" t="s">
        <v>52</v>
      </c>
      <c r="B54" s="3" t="s">
        <v>49</v>
      </c>
      <c r="C54" s="8">
        <v>35349</v>
      </c>
      <c r="D54" s="8">
        <v>9080</v>
      </c>
      <c r="E54" s="8">
        <v>13135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771F-EB0C-45AB-9BF2-D8894A4018E6}">
  <dimension ref="A1:E54"/>
  <sheetViews>
    <sheetView workbookViewId="0"/>
  </sheetViews>
  <sheetFormatPr defaultRowHeight="15.6" x14ac:dyDescent="0.3"/>
  <cols>
    <col min="1" max="1" width="10.77734375" style="3" customWidth="1"/>
    <col min="2" max="2" width="30.77734375" style="3" customWidth="1"/>
    <col min="3" max="5" width="20.77734375" style="3" customWidth="1"/>
    <col min="6" max="16384" width="8.88671875" style="3"/>
  </cols>
  <sheetData>
    <row r="1" spans="1:5" ht="25.8" x14ac:dyDescent="0.3">
      <c r="A1" s="5" t="s">
        <v>68</v>
      </c>
    </row>
    <row r="2" spans="1:5" ht="18" x14ac:dyDescent="0.3">
      <c r="A2" s="4" t="s">
        <v>62</v>
      </c>
    </row>
    <row r="4" spans="1:5" x14ac:dyDescent="0.3">
      <c r="A4" s="3" t="s">
        <v>66</v>
      </c>
      <c r="B4" s="3" t="s">
        <v>60</v>
      </c>
      <c r="C4" s="3" t="s">
        <v>62</v>
      </c>
      <c r="D4" s="3" t="s">
        <v>63</v>
      </c>
      <c r="E4" s="3" t="s">
        <v>64</v>
      </c>
    </row>
    <row r="5" spans="1:5" x14ac:dyDescent="0.3">
      <c r="A5" s="3">
        <v>1</v>
      </c>
      <c r="B5" s="3" t="s">
        <v>45</v>
      </c>
      <c r="C5" s="8">
        <v>123167</v>
      </c>
      <c r="D5" s="8">
        <v>7563</v>
      </c>
      <c r="E5" s="8">
        <v>57802</v>
      </c>
    </row>
    <row r="6" spans="1:5" x14ac:dyDescent="0.3">
      <c r="A6" s="3">
        <v>2</v>
      </c>
      <c r="B6" s="3" t="s">
        <v>12</v>
      </c>
      <c r="C6" s="8">
        <v>119998</v>
      </c>
      <c r="D6" s="8">
        <v>2981</v>
      </c>
      <c r="E6" s="8">
        <v>58509</v>
      </c>
    </row>
    <row r="7" spans="1:5" x14ac:dyDescent="0.3">
      <c r="A7" s="3">
        <v>3</v>
      </c>
      <c r="B7" s="3" t="s">
        <v>27</v>
      </c>
      <c r="C7" s="8">
        <v>112258</v>
      </c>
      <c r="D7" s="8">
        <v>4275</v>
      </c>
      <c r="E7" s="8">
        <v>53992</v>
      </c>
    </row>
    <row r="8" spans="1:5" x14ac:dyDescent="0.3">
      <c r="A8" s="3">
        <v>4</v>
      </c>
      <c r="B8" s="3" t="s">
        <v>5</v>
      </c>
      <c r="C8" s="8">
        <v>109234</v>
      </c>
      <c r="D8" s="8">
        <v>9817</v>
      </c>
      <c r="E8" s="8">
        <v>49709</v>
      </c>
    </row>
    <row r="9" spans="1:5" x14ac:dyDescent="0.3">
      <c r="A9" s="3">
        <v>5</v>
      </c>
      <c r="B9" s="3" t="s">
        <v>13</v>
      </c>
      <c r="C9" s="8">
        <v>106433</v>
      </c>
      <c r="D9" s="8">
        <v>12291</v>
      </c>
      <c r="E9" s="8">
        <v>47071</v>
      </c>
    </row>
    <row r="10" spans="1:5" x14ac:dyDescent="0.3">
      <c r="A10" s="3">
        <v>6</v>
      </c>
      <c r="B10" s="3" t="s">
        <v>44</v>
      </c>
      <c r="C10" s="8">
        <v>105904</v>
      </c>
      <c r="D10" s="8">
        <v>3440</v>
      </c>
      <c r="E10" s="8">
        <v>51232</v>
      </c>
    </row>
    <row r="11" spans="1:5" x14ac:dyDescent="0.3">
      <c r="A11" s="3">
        <v>7</v>
      </c>
      <c r="B11" s="3" t="s">
        <v>20</v>
      </c>
      <c r="C11" s="8">
        <v>103803</v>
      </c>
      <c r="D11" s="8">
        <v>3905</v>
      </c>
      <c r="E11" s="8">
        <v>49949</v>
      </c>
    </row>
    <row r="12" spans="1:5" x14ac:dyDescent="0.3">
      <c r="A12" s="3">
        <v>8</v>
      </c>
      <c r="B12" s="3" t="s">
        <v>29</v>
      </c>
      <c r="C12" s="8">
        <v>103491</v>
      </c>
      <c r="D12" s="8">
        <v>4147</v>
      </c>
      <c r="E12" s="8">
        <v>49672</v>
      </c>
    </row>
    <row r="13" spans="1:5" x14ac:dyDescent="0.3">
      <c r="A13" s="3">
        <v>9</v>
      </c>
      <c r="B13" s="3" t="s">
        <v>28</v>
      </c>
      <c r="C13" s="8">
        <v>100806</v>
      </c>
      <c r="D13" s="8">
        <v>7336</v>
      </c>
      <c r="E13" s="8">
        <v>46735</v>
      </c>
    </row>
    <row r="14" spans="1:5" x14ac:dyDescent="0.3">
      <c r="A14" s="3">
        <v>10</v>
      </c>
      <c r="B14" s="3" t="s">
        <v>14</v>
      </c>
      <c r="C14" s="8">
        <v>100624</v>
      </c>
      <c r="D14" s="8">
        <v>11552</v>
      </c>
      <c r="E14" s="8">
        <v>44536</v>
      </c>
    </row>
    <row r="15" spans="1:5" x14ac:dyDescent="0.3">
      <c r="A15" s="3">
        <v>11</v>
      </c>
      <c r="B15" s="3" t="s">
        <v>8</v>
      </c>
      <c r="C15" s="8">
        <v>98463</v>
      </c>
      <c r="D15" s="8">
        <v>10630</v>
      </c>
      <c r="E15" s="8">
        <v>43917</v>
      </c>
    </row>
    <row r="16" spans="1:5" x14ac:dyDescent="0.3">
      <c r="A16" s="3">
        <v>12</v>
      </c>
      <c r="B16" s="3" t="s">
        <v>25</v>
      </c>
      <c r="C16" s="8">
        <v>94121</v>
      </c>
      <c r="D16" s="8">
        <v>6679</v>
      </c>
      <c r="E16" s="8">
        <v>43721</v>
      </c>
    </row>
    <row r="17" spans="1:5" x14ac:dyDescent="0.3">
      <c r="A17" s="3">
        <v>13</v>
      </c>
      <c r="B17" s="3" t="s">
        <v>10</v>
      </c>
      <c r="C17" s="8">
        <v>91493</v>
      </c>
      <c r="D17" s="8">
        <v>5150</v>
      </c>
      <c r="E17" s="8">
        <v>43172</v>
      </c>
    </row>
    <row r="18" spans="1:5" x14ac:dyDescent="0.3">
      <c r="A18" s="3">
        <v>14</v>
      </c>
      <c r="B18" s="3" t="s">
        <v>35</v>
      </c>
      <c r="C18" s="8">
        <v>90886</v>
      </c>
      <c r="D18" s="8">
        <v>5068</v>
      </c>
      <c r="E18" s="8">
        <v>42909</v>
      </c>
    </row>
    <row r="19" spans="1:5" x14ac:dyDescent="0.3">
      <c r="A19" s="3">
        <v>15</v>
      </c>
      <c r="B19" s="3" t="s">
        <v>15</v>
      </c>
      <c r="C19" s="8">
        <v>89393</v>
      </c>
      <c r="D19" s="8">
        <v>10039</v>
      </c>
      <c r="E19" s="8">
        <v>39677</v>
      </c>
    </row>
    <row r="20" spans="1:5" x14ac:dyDescent="0.3">
      <c r="A20" s="3">
        <v>16</v>
      </c>
      <c r="B20" s="3" t="s">
        <v>41</v>
      </c>
      <c r="C20" s="8">
        <v>87070</v>
      </c>
      <c r="D20" s="8">
        <v>6548</v>
      </c>
      <c r="E20" s="8">
        <v>40261</v>
      </c>
    </row>
    <row r="21" spans="1:5" x14ac:dyDescent="0.3">
      <c r="A21" s="3">
        <v>17</v>
      </c>
      <c r="B21" s="3" t="s">
        <v>21</v>
      </c>
      <c r="C21" s="8">
        <v>86915</v>
      </c>
      <c r="D21" s="8">
        <v>5479</v>
      </c>
      <c r="E21" s="8">
        <v>40718</v>
      </c>
    </row>
    <row r="22" spans="1:5" x14ac:dyDescent="0.3">
      <c r="A22" s="3">
        <v>18</v>
      </c>
      <c r="B22" s="3" t="s">
        <v>31</v>
      </c>
      <c r="C22" s="8">
        <v>85324</v>
      </c>
      <c r="D22" s="8">
        <v>9431</v>
      </c>
      <c r="E22" s="8">
        <v>37947</v>
      </c>
    </row>
    <row r="23" spans="1:5" x14ac:dyDescent="0.3">
      <c r="A23" s="3">
        <v>19</v>
      </c>
      <c r="B23" s="3" t="s">
        <v>1</v>
      </c>
      <c r="C23" s="8">
        <v>79738</v>
      </c>
      <c r="D23" s="8">
        <v>10707</v>
      </c>
      <c r="E23" s="8">
        <v>34516</v>
      </c>
    </row>
    <row r="24" spans="1:5" x14ac:dyDescent="0.3">
      <c r="A24" s="3">
        <v>20</v>
      </c>
      <c r="B24" s="3" t="s">
        <v>11</v>
      </c>
      <c r="C24" s="8">
        <v>77718</v>
      </c>
      <c r="D24" s="8">
        <v>4015</v>
      </c>
      <c r="E24" s="8">
        <v>36852</v>
      </c>
    </row>
    <row r="25" spans="1:5" x14ac:dyDescent="0.3">
      <c r="A25" s="3">
        <v>21</v>
      </c>
      <c r="B25" s="3" t="s">
        <v>22</v>
      </c>
      <c r="C25" s="8">
        <v>76361</v>
      </c>
      <c r="D25" s="8">
        <v>11055</v>
      </c>
      <c r="E25" s="8">
        <v>32653</v>
      </c>
    </row>
    <row r="26" spans="1:5" x14ac:dyDescent="0.3">
      <c r="A26" s="3">
        <v>22</v>
      </c>
      <c r="B26" s="3" t="s">
        <v>43</v>
      </c>
      <c r="C26" s="8">
        <v>73830</v>
      </c>
      <c r="D26" s="8">
        <v>2955</v>
      </c>
      <c r="E26" s="8">
        <v>35438</v>
      </c>
    </row>
    <row r="27" spans="1:5" x14ac:dyDescent="0.3">
      <c r="A27" s="3">
        <v>23</v>
      </c>
      <c r="B27" s="3" t="s">
        <v>32</v>
      </c>
      <c r="C27" s="8">
        <v>72041</v>
      </c>
      <c r="D27" s="8">
        <v>12147</v>
      </c>
      <c r="E27" s="8">
        <v>29947</v>
      </c>
    </row>
    <row r="28" spans="1:5" x14ac:dyDescent="0.3">
      <c r="A28" s="3">
        <v>24</v>
      </c>
      <c r="B28" s="3" t="s">
        <v>7</v>
      </c>
      <c r="C28" s="8">
        <v>67693</v>
      </c>
      <c r="D28" s="8">
        <v>4204</v>
      </c>
      <c r="E28" s="8">
        <v>31745</v>
      </c>
    </row>
    <row r="29" spans="1:5" x14ac:dyDescent="0.3">
      <c r="A29" s="3">
        <v>25</v>
      </c>
      <c r="B29" s="3" t="s">
        <v>17</v>
      </c>
      <c r="C29" s="8">
        <v>66897</v>
      </c>
      <c r="D29" s="8">
        <v>4756</v>
      </c>
      <c r="E29" s="8">
        <v>31071</v>
      </c>
    </row>
    <row r="30" spans="1:5" x14ac:dyDescent="0.3">
      <c r="A30" s="3">
        <v>26</v>
      </c>
      <c r="B30" s="3" t="s">
        <v>36</v>
      </c>
      <c r="C30" s="8">
        <v>66847</v>
      </c>
      <c r="D30" s="8">
        <v>11801</v>
      </c>
      <c r="E30" s="8">
        <v>27523</v>
      </c>
    </row>
    <row r="31" spans="1:5" x14ac:dyDescent="0.3">
      <c r="A31" s="3">
        <v>27</v>
      </c>
      <c r="B31" s="3" t="s">
        <v>48</v>
      </c>
      <c r="C31" s="8">
        <v>62838</v>
      </c>
      <c r="D31" s="8">
        <v>10423</v>
      </c>
      <c r="E31" s="8">
        <v>26208</v>
      </c>
    </row>
    <row r="32" spans="1:5" x14ac:dyDescent="0.3">
      <c r="A32" s="3">
        <v>28</v>
      </c>
      <c r="B32" s="3" t="s">
        <v>9</v>
      </c>
      <c r="C32" s="8">
        <v>60723</v>
      </c>
      <c r="D32" s="8">
        <v>4046</v>
      </c>
      <c r="E32" s="8">
        <v>28339</v>
      </c>
    </row>
    <row r="33" spans="1:5" x14ac:dyDescent="0.3">
      <c r="A33" s="3">
        <v>29</v>
      </c>
      <c r="B33" s="3" t="s">
        <v>18</v>
      </c>
      <c r="C33" s="8">
        <v>60694</v>
      </c>
      <c r="D33" s="8">
        <v>12128</v>
      </c>
      <c r="E33" s="8">
        <v>24283</v>
      </c>
    </row>
    <row r="34" spans="1:5" x14ac:dyDescent="0.3">
      <c r="A34" s="3">
        <v>30</v>
      </c>
      <c r="B34" s="3" t="s">
        <v>33</v>
      </c>
      <c r="C34" s="8">
        <v>60349</v>
      </c>
      <c r="D34" s="8">
        <v>9448</v>
      </c>
      <c r="E34" s="8">
        <v>25451</v>
      </c>
    </row>
    <row r="35" spans="1:5" x14ac:dyDescent="0.3">
      <c r="A35" s="3">
        <v>31</v>
      </c>
      <c r="B35" s="3" t="s">
        <v>42</v>
      </c>
      <c r="C35" s="8">
        <v>57465</v>
      </c>
      <c r="D35" s="8">
        <v>5848</v>
      </c>
      <c r="E35" s="8">
        <v>25809</v>
      </c>
    </row>
    <row r="36" spans="1:5" x14ac:dyDescent="0.3">
      <c r="A36" s="3">
        <v>32</v>
      </c>
      <c r="B36" s="3" t="s">
        <v>24</v>
      </c>
      <c r="C36" s="8">
        <v>57079</v>
      </c>
      <c r="D36" s="8">
        <v>11723</v>
      </c>
      <c r="E36" s="8">
        <v>22678</v>
      </c>
    </row>
    <row r="37" spans="1:5" x14ac:dyDescent="0.3">
      <c r="A37" s="3">
        <v>33</v>
      </c>
      <c r="B37" s="3" t="s">
        <v>26</v>
      </c>
      <c r="C37" s="8">
        <v>53826</v>
      </c>
      <c r="D37" s="8">
        <v>5266</v>
      </c>
      <c r="E37" s="8">
        <v>24280</v>
      </c>
    </row>
    <row r="38" spans="1:5" x14ac:dyDescent="0.3">
      <c r="A38" s="3">
        <v>34</v>
      </c>
      <c r="B38" s="3" t="s">
        <v>30</v>
      </c>
      <c r="C38" s="8">
        <v>53753</v>
      </c>
      <c r="D38" s="8">
        <v>5827</v>
      </c>
      <c r="E38" s="8">
        <v>23963</v>
      </c>
    </row>
    <row r="39" spans="1:5" x14ac:dyDescent="0.3">
      <c r="A39" s="3">
        <v>35</v>
      </c>
      <c r="B39" s="3" t="s">
        <v>39</v>
      </c>
      <c r="C39" s="8">
        <v>53130</v>
      </c>
      <c r="D39" s="8">
        <v>6628</v>
      </c>
      <c r="E39" s="8">
        <v>23251</v>
      </c>
    </row>
    <row r="40" spans="1:5" x14ac:dyDescent="0.3">
      <c r="A40" s="3">
        <v>36</v>
      </c>
      <c r="B40" s="3" t="s">
        <v>3</v>
      </c>
      <c r="C40" s="8">
        <v>50494</v>
      </c>
      <c r="D40" s="8">
        <v>11789</v>
      </c>
      <c r="E40" s="8">
        <v>19353</v>
      </c>
    </row>
    <row r="41" spans="1:5" x14ac:dyDescent="0.3">
      <c r="A41" s="3">
        <v>37</v>
      </c>
      <c r="B41" s="3" t="s">
        <v>16</v>
      </c>
      <c r="C41" s="8">
        <v>49229</v>
      </c>
      <c r="D41" s="8">
        <v>8367</v>
      </c>
      <c r="E41" s="8">
        <v>20431</v>
      </c>
    </row>
    <row r="42" spans="1:5" x14ac:dyDescent="0.3">
      <c r="A42" s="3">
        <v>38</v>
      </c>
      <c r="B42" s="3" t="s">
        <v>49</v>
      </c>
      <c r="C42" s="8">
        <v>45982</v>
      </c>
      <c r="D42" s="8">
        <v>11229</v>
      </c>
      <c r="E42" s="8">
        <v>17377</v>
      </c>
    </row>
    <row r="43" spans="1:5" x14ac:dyDescent="0.3">
      <c r="A43" s="3">
        <v>39</v>
      </c>
      <c r="B43" s="3" t="s">
        <v>0</v>
      </c>
      <c r="C43" s="8">
        <v>44607</v>
      </c>
      <c r="D43" s="8">
        <v>9111</v>
      </c>
      <c r="E43" s="8">
        <v>17748</v>
      </c>
    </row>
    <row r="44" spans="1:5" x14ac:dyDescent="0.3">
      <c r="A44" s="3">
        <v>40</v>
      </c>
      <c r="B44" s="3" t="s">
        <v>6</v>
      </c>
      <c r="C44" s="8">
        <v>42215</v>
      </c>
      <c r="D44" s="8">
        <v>10426</v>
      </c>
      <c r="E44" s="8">
        <v>15895</v>
      </c>
    </row>
    <row r="45" spans="1:5" x14ac:dyDescent="0.3">
      <c r="A45" s="3">
        <v>41</v>
      </c>
      <c r="B45" s="3" t="s">
        <v>46</v>
      </c>
      <c r="C45" s="8">
        <v>41815</v>
      </c>
      <c r="D45" s="8">
        <v>8881</v>
      </c>
      <c r="E45" s="8">
        <v>16467</v>
      </c>
    </row>
    <row r="46" spans="1:5" x14ac:dyDescent="0.3">
      <c r="A46" s="3">
        <v>42</v>
      </c>
      <c r="B46" s="3" t="s">
        <v>19</v>
      </c>
      <c r="C46" s="8">
        <v>39899</v>
      </c>
      <c r="D46" s="8">
        <v>3557</v>
      </c>
      <c r="E46" s="8">
        <v>18171</v>
      </c>
    </row>
    <row r="47" spans="1:5" x14ac:dyDescent="0.3">
      <c r="A47" s="3">
        <v>43</v>
      </c>
      <c r="B47" s="3" t="s">
        <v>4</v>
      </c>
      <c r="C47" s="8">
        <v>38526</v>
      </c>
      <c r="D47" s="8">
        <v>12250</v>
      </c>
      <c r="E47" s="8">
        <v>13138</v>
      </c>
    </row>
    <row r="48" spans="1:5" x14ac:dyDescent="0.3">
      <c r="A48" s="3">
        <v>44</v>
      </c>
      <c r="B48" s="3" t="s">
        <v>23</v>
      </c>
      <c r="C48" s="8">
        <v>30981</v>
      </c>
      <c r="D48" s="8">
        <v>9953</v>
      </c>
      <c r="E48" s="8">
        <v>10514</v>
      </c>
    </row>
    <row r="49" spans="1:5" x14ac:dyDescent="0.3">
      <c r="A49" s="3">
        <v>45</v>
      </c>
      <c r="B49" s="3" t="s">
        <v>40</v>
      </c>
      <c r="C49" s="8">
        <v>29885</v>
      </c>
      <c r="D49" s="8">
        <v>11324</v>
      </c>
      <c r="E49" s="8">
        <v>9281</v>
      </c>
    </row>
    <row r="50" spans="1:5" x14ac:dyDescent="0.3">
      <c r="A50" s="3">
        <v>46</v>
      </c>
      <c r="B50" s="3" t="s">
        <v>38</v>
      </c>
      <c r="C50" s="8">
        <v>23951</v>
      </c>
      <c r="D50" s="8">
        <v>7450</v>
      </c>
      <c r="E50" s="8">
        <v>8251</v>
      </c>
    </row>
    <row r="51" spans="1:5" x14ac:dyDescent="0.3">
      <c r="A51" s="3">
        <v>47</v>
      </c>
      <c r="B51" s="3" t="s">
        <v>2</v>
      </c>
      <c r="C51" s="8">
        <v>21505</v>
      </c>
      <c r="D51" s="8">
        <v>7460</v>
      </c>
      <c r="E51" s="8">
        <v>7023</v>
      </c>
    </row>
    <row r="52" spans="1:5" x14ac:dyDescent="0.3">
      <c r="A52" s="3">
        <v>48</v>
      </c>
      <c r="B52" s="3" t="s">
        <v>37</v>
      </c>
      <c r="C52" s="8">
        <v>19739</v>
      </c>
      <c r="D52" s="8">
        <v>11858</v>
      </c>
      <c r="E52" s="8">
        <v>3941</v>
      </c>
    </row>
    <row r="53" spans="1:5" x14ac:dyDescent="0.3">
      <c r="A53" s="3">
        <v>49</v>
      </c>
      <c r="B53" s="3" t="s">
        <v>47</v>
      </c>
      <c r="C53" s="8">
        <v>17062</v>
      </c>
      <c r="D53" s="8">
        <v>5980</v>
      </c>
      <c r="E53" s="8">
        <v>5541</v>
      </c>
    </row>
    <row r="54" spans="1:5" x14ac:dyDescent="0.3">
      <c r="A54" s="3">
        <v>50</v>
      </c>
      <c r="B54" s="3" t="s">
        <v>34</v>
      </c>
      <c r="C54" s="8">
        <v>16023</v>
      </c>
      <c r="D54" s="8">
        <v>7533</v>
      </c>
      <c r="E54" s="8">
        <v>4245</v>
      </c>
    </row>
  </sheetData>
  <phoneticPr fontId="2" type="noConversion"/>
  <conditionalFormatting sqref="A5:E54">
    <cfRule type="expression" dxfId="16" priority="1">
      <formula>$D5&gt;6000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7CF6-C210-446F-98FA-71710D798969}">
  <dimension ref="A1:B38"/>
  <sheetViews>
    <sheetView workbookViewId="0">
      <selection activeCell="B4" sqref="B4"/>
    </sheetView>
  </sheetViews>
  <sheetFormatPr defaultRowHeight="16.2" x14ac:dyDescent="0.3"/>
  <cols>
    <col min="1" max="1" width="13.33203125" bestFit="1" customWidth="1"/>
    <col min="2" max="2" width="11" bestFit="1" customWidth="1"/>
    <col min="3" max="3" width="13.33203125" bestFit="1" customWidth="1"/>
  </cols>
  <sheetData>
    <row r="1" spans="1:2" x14ac:dyDescent="0.3">
      <c r="A1" s="11" t="s">
        <v>60</v>
      </c>
      <c r="B1" t="s">
        <v>102</v>
      </c>
    </row>
    <row r="3" spans="1:2" x14ac:dyDescent="0.3">
      <c r="A3" s="11" t="s">
        <v>100</v>
      </c>
      <c r="B3" t="s">
        <v>103</v>
      </c>
    </row>
    <row r="4" spans="1:2" x14ac:dyDescent="0.3">
      <c r="A4" s="1">
        <v>2019</v>
      </c>
      <c r="B4" s="12">
        <v>4165299</v>
      </c>
    </row>
    <row r="5" spans="1:2" x14ac:dyDescent="0.3">
      <c r="A5" s="13" t="s">
        <v>95</v>
      </c>
      <c r="B5" s="12">
        <v>1191677</v>
      </c>
    </row>
    <row r="6" spans="1:2" x14ac:dyDescent="0.3">
      <c r="A6" s="14" t="s">
        <v>72</v>
      </c>
      <c r="B6" s="12">
        <v>428990</v>
      </c>
    </row>
    <row r="7" spans="1:2" x14ac:dyDescent="0.3">
      <c r="A7" s="14" t="s">
        <v>73</v>
      </c>
      <c r="B7" s="12">
        <v>446867</v>
      </c>
    </row>
    <row r="8" spans="1:2" x14ac:dyDescent="0.3">
      <c r="A8" s="14" t="s">
        <v>74</v>
      </c>
      <c r="B8" s="12">
        <v>315820</v>
      </c>
    </row>
    <row r="9" spans="1:2" x14ac:dyDescent="0.3">
      <c r="A9" s="13" t="s">
        <v>97</v>
      </c>
      <c r="B9" s="12">
        <v>1090106</v>
      </c>
    </row>
    <row r="10" spans="1:2" x14ac:dyDescent="0.3">
      <c r="A10" s="14" t="s">
        <v>75</v>
      </c>
      <c r="B10" s="12">
        <v>441588</v>
      </c>
    </row>
    <row r="11" spans="1:2" x14ac:dyDescent="0.3">
      <c r="A11" s="14" t="s">
        <v>76</v>
      </c>
      <c r="B11" s="12">
        <v>376029</v>
      </c>
    </row>
    <row r="12" spans="1:2" x14ac:dyDescent="0.3">
      <c r="A12" s="14" t="s">
        <v>77</v>
      </c>
      <c r="B12" s="12">
        <v>272489</v>
      </c>
    </row>
    <row r="13" spans="1:2" x14ac:dyDescent="0.3">
      <c r="A13" s="13" t="s">
        <v>98</v>
      </c>
      <c r="B13" s="12">
        <v>1025073</v>
      </c>
    </row>
    <row r="14" spans="1:2" x14ac:dyDescent="0.3">
      <c r="A14" s="14" t="s">
        <v>78</v>
      </c>
      <c r="B14" s="12">
        <v>336705</v>
      </c>
    </row>
    <row r="15" spans="1:2" x14ac:dyDescent="0.3">
      <c r="A15" s="14" t="s">
        <v>79</v>
      </c>
      <c r="B15" s="12">
        <v>434485</v>
      </c>
    </row>
    <row r="16" spans="1:2" x14ac:dyDescent="0.3">
      <c r="A16" s="14" t="s">
        <v>80</v>
      </c>
      <c r="B16" s="12">
        <v>253883</v>
      </c>
    </row>
    <row r="17" spans="1:2" x14ac:dyDescent="0.3">
      <c r="A17" s="13" t="s">
        <v>99</v>
      </c>
      <c r="B17" s="12">
        <v>858443</v>
      </c>
    </row>
    <row r="18" spans="1:2" x14ac:dyDescent="0.3">
      <c r="A18" s="14" t="s">
        <v>81</v>
      </c>
      <c r="B18" s="12">
        <v>292144</v>
      </c>
    </row>
    <row r="19" spans="1:2" x14ac:dyDescent="0.3">
      <c r="A19" s="14" t="s">
        <v>82</v>
      </c>
      <c r="B19" s="12">
        <v>326319</v>
      </c>
    </row>
    <row r="20" spans="1:2" x14ac:dyDescent="0.3">
      <c r="A20" s="14" t="s">
        <v>83</v>
      </c>
      <c r="B20" s="12">
        <v>239980</v>
      </c>
    </row>
    <row r="21" spans="1:2" x14ac:dyDescent="0.3">
      <c r="A21" s="1">
        <v>2020</v>
      </c>
      <c r="B21" s="12">
        <v>3756193</v>
      </c>
    </row>
    <row r="22" spans="1:2" x14ac:dyDescent="0.3">
      <c r="A22" s="13" t="s">
        <v>95</v>
      </c>
      <c r="B22" s="12">
        <v>869809</v>
      </c>
    </row>
    <row r="23" spans="1:2" x14ac:dyDescent="0.3">
      <c r="A23" s="14" t="s">
        <v>72</v>
      </c>
      <c r="B23" s="12">
        <v>263319</v>
      </c>
    </row>
    <row r="24" spans="1:2" x14ac:dyDescent="0.3">
      <c r="A24" s="14" t="s">
        <v>73</v>
      </c>
      <c r="B24" s="12">
        <v>297888</v>
      </c>
    </row>
    <row r="25" spans="1:2" x14ac:dyDescent="0.3">
      <c r="A25" s="14" t="s">
        <v>74</v>
      </c>
      <c r="B25" s="12">
        <v>308602</v>
      </c>
    </row>
    <row r="26" spans="1:2" x14ac:dyDescent="0.3">
      <c r="A26" s="13" t="s">
        <v>97</v>
      </c>
      <c r="B26" s="12">
        <v>945856</v>
      </c>
    </row>
    <row r="27" spans="1:2" x14ac:dyDescent="0.3">
      <c r="A27" s="14" t="s">
        <v>75</v>
      </c>
      <c r="B27" s="12">
        <v>327769</v>
      </c>
    </row>
    <row r="28" spans="1:2" x14ac:dyDescent="0.3">
      <c r="A28" s="14" t="s">
        <v>76</v>
      </c>
      <c r="B28" s="12">
        <v>348447</v>
      </c>
    </row>
    <row r="29" spans="1:2" x14ac:dyDescent="0.3">
      <c r="A29" s="14" t="s">
        <v>77</v>
      </c>
      <c r="B29" s="12">
        <v>269640</v>
      </c>
    </row>
    <row r="30" spans="1:2" x14ac:dyDescent="0.3">
      <c r="A30" s="13" t="s">
        <v>98</v>
      </c>
      <c r="B30" s="12">
        <v>993744</v>
      </c>
    </row>
    <row r="31" spans="1:2" x14ac:dyDescent="0.3">
      <c r="A31" s="14" t="s">
        <v>78</v>
      </c>
      <c r="B31" s="12">
        <v>266462</v>
      </c>
    </row>
    <row r="32" spans="1:2" x14ac:dyDescent="0.3">
      <c r="A32" s="14" t="s">
        <v>79</v>
      </c>
      <c r="B32" s="12">
        <v>417317</v>
      </c>
    </row>
    <row r="33" spans="1:2" x14ac:dyDescent="0.3">
      <c r="A33" s="14" t="s">
        <v>80</v>
      </c>
      <c r="B33" s="12">
        <v>309965</v>
      </c>
    </row>
    <row r="34" spans="1:2" x14ac:dyDescent="0.3">
      <c r="A34" s="13" t="s">
        <v>99</v>
      </c>
      <c r="B34" s="12">
        <v>946784</v>
      </c>
    </row>
    <row r="35" spans="1:2" x14ac:dyDescent="0.3">
      <c r="A35" s="14" t="s">
        <v>81</v>
      </c>
      <c r="B35" s="12">
        <v>392023</v>
      </c>
    </row>
    <row r="36" spans="1:2" x14ac:dyDescent="0.3">
      <c r="A36" s="14" t="s">
        <v>82</v>
      </c>
      <c r="B36" s="12">
        <v>207165</v>
      </c>
    </row>
    <row r="37" spans="1:2" x14ac:dyDescent="0.3">
      <c r="A37" s="14" t="s">
        <v>83</v>
      </c>
      <c r="B37" s="12">
        <v>347596</v>
      </c>
    </row>
    <row r="38" spans="1:2" x14ac:dyDescent="0.3">
      <c r="A38" s="1" t="s">
        <v>101</v>
      </c>
      <c r="B38" s="12">
        <v>7921492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7D9F-EA7B-4E20-8DFC-27DD2BEA66B2}">
  <dimension ref="A1:G76"/>
  <sheetViews>
    <sheetView workbookViewId="0">
      <selection sqref="A1:G1"/>
    </sheetView>
  </sheetViews>
  <sheetFormatPr defaultRowHeight="15.6" x14ac:dyDescent="0.3"/>
  <cols>
    <col min="1" max="4" width="12.77734375" style="3" customWidth="1"/>
    <col min="5" max="7" width="15.77734375" style="3" customWidth="1"/>
    <col min="8" max="16384" width="8.88671875" style="3"/>
  </cols>
  <sheetData>
    <row r="1" spans="1:7" ht="25.8" x14ac:dyDescent="0.3">
      <c r="A1" s="15" t="s">
        <v>94</v>
      </c>
      <c r="B1" s="15"/>
      <c r="C1" s="15"/>
      <c r="D1" s="15"/>
      <c r="E1" s="15"/>
      <c r="F1" s="15"/>
      <c r="G1" s="15"/>
    </row>
    <row r="2" spans="1:7" ht="18" x14ac:dyDescent="0.3">
      <c r="A2" s="16" t="s">
        <v>90</v>
      </c>
      <c r="B2" s="16"/>
      <c r="C2" s="16"/>
      <c r="D2" s="16"/>
      <c r="E2" s="16"/>
      <c r="F2" s="16"/>
      <c r="G2" s="16"/>
    </row>
    <row r="3" spans="1:7" x14ac:dyDescent="0.3">
      <c r="A3" s="9"/>
      <c r="B3" s="9"/>
      <c r="C3" s="9"/>
      <c r="D3" s="9"/>
      <c r="E3" s="9"/>
      <c r="F3" s="9"/>
      <c r="G3" s="9"/>
    </row>
    <row r="4" spans="1:7" x14ac:dyDescent="0.3">
      <c r="A4" s="3" t="s">
        <v>61</v>
      </c>
      <c r="B4" s="3" t="s">
        <v>87</v>
      </c>
      <c r="C4" s="3" t="s">
        <v>88</v>
      </c>
      <c r="D4" s="3" t="s">
        <v>89</v>
      </c>
      <c r="E4" s="3" t="s">
        <v>85</v>
      </c>
      <c r="F4" s="3" t="s">
        <v>86</v>
      </c>
      <c r="G4" s="3" t="s">
        <v>84</v>
      </c>
    </row>
    <row r="5" spans="1:7" x14ac:dyDescent="0.3">
      <c r="A5" s="3" t="s">
        <v>91</v>
      </c>
      <c r="B5" s="3">
        <v>2020</v>
      </c>
      <c r="C5" s="3" t="s">
        <v>96</v>
      </c>
      <c r="D5" s="3" t="s">
        <v>72</v>
      </c>
      <c r="E5" s="10">
        <v>38189</v>
      </c>
      <c r="F5" s="3">
        <v>99706</v>
      </c>
      <c r="G5" s="10">
        <f>SUM(E5:F5)</f>
        <v>137895</v>
      </c>
    </row>
    <row r="6" spans="1:7" x14ac:dyDescent="0.3">
      <c r="A6" s="3" t="s">
        <v>91</v>
      </c>
      <c r="B6" s="3">
        <v>2020</v>
      </c>
      <c r="C6" s="3" t="s">
        <v>96</v>
      </c>
      <c r="D6" s="3" t="s">
        <v>73</v>
      </c>
      <c r="E6" s="10">
        <v>16700</v>
      </c>
      <c r="F6" s="3">
        <v>29521</v>
      </c>
      <c r="G6" s="10">
        <f t="shared" ref="G6:G69" si="0">SUM(E6:F6)</f>
        <v>46221</v>
      </c>
    </row>
    <row r="7" spans="1:7" x14ac:dyDescent="0.3">
      <c r="A7" s="3" t="s">
        <v>91</v>
      </c>
      <c r="B7" s="3">
        <v>2020</v>
      </c>
      <c r="C7" s="3" t="s">
        <v>96</v>
      </c>
      <c r="D7" s="3" t="s">
        <v>74</v>
      </c>
      <c r="E7" s="10">
        <v>75199</v>
      </c>
      <c r="F7" s="3">
        <v>19277</v>
      </c>
      <c r="G7" s="10">
        <f t="shared" si="0"/>
        <v>94476</v>
      </c>
    </row>
    <row r="8" spans="1:7" x14ac:dyDescent="0.3">
      <c r="A8" s="3" t="s">
        <v>91</v>
      </c>
      <c r="B8" s="3">
        <v>2020</v>
      </c>
      <c r="C8" s="3" t="s">
        <v>97</v>
      </c>
      <c r="D8" s="3" t="s">
        <v>75</v>
      </c>
      <c r="E8" s="10">
        <v>37314</v>
      </c>
      <c r="F8" s="3">
        <v>38367</v>
      </c>
      <c r="G8" s="10">
        <f t="shared" si="0"/>
        <v>75681</v>
      </c>
    </row>
    <row r="9" spans="1:7" x14ac:dyDescent="0.3">
      <c r="A9" s="3" t="s">
        <v>91</v>
      </c>
      <c r="B9" s="3">
        <v>2020</v>
      </c>
      <c r="C9" s="3" t="s">
        <v>97</v>
      </c>
      <c r="D9" s="3" t="s">
        <v>76</v>
      </c>
      <c r="E9" s="10">
        <v>76120</v>
      </c>
      <c r="F9" s="3">
        <v>16065</v>
      </c>
      <c r="G9" s="10">
        <f t="shared" si="0"/>
        <v>92185</v>
      </c>
    </row>
    <row r="10" spans="1:7" x14ac:dyDescent="0.3">
      <c r="A10" s="3" t="s">
        <v>91</v>
      </c>
      <c r="B10" s="3">
        <v>2020</v>
      </c>
      <c r="C10" s="3" t="s">
        <v>97</v>
      </c>
      <c r="D10" s="3" t="s">
        <v>77</v>
      </c>
      <c r="E10" s="10">
        <v>25827</v>
      </c>
      <c r="F10" s="3">
        <v>47375</v>
      </c>
      <c r="G10" s="10">
        <f t="shared" si="0"/>
        <v>73202</v>
      </c>
    </row>
    <row r="11" spans="1:7" x14ac:dyDescent="0.3">
      <c r="A11" s="3" t="s">
        <v>91</v>
      </c>
      <c r="B11" s="3">
        <v>2020</v>
      </c>
      <c r="C11" s="3" t="s">
        <v>98</v>
      </c>
      <c r="D11" s="3" t="s">
        <v>78</v>
      </c>
      <c r="E11" s="10">
        <v>74675</v>
      </c>
      <c r="F11" s="3">
        <v>24020</v>
      </c>
      <c r="G11" s="10">
        <f t="shared" si="0"/>
        <v>98695</v>
      </c>
    </row>
    <row r="12" spans="1:7" x14ac:dyDescent="0.3">
      <c r="A12" s="3" t="s">
        <v>91</v>
      </c>
      <c r="B12" s="3">
        <v>2020</v>
      </c>
      <c r="C12" s="3" t="s">
        <v>98</v>
      </c>
      <c r="D12" s="3" t="s">
        <v>79</v>
      </c>
      <c r="E12" s="10">
        <v>61978</v>
      </c>
      <c r="F12" s="3">
        <v>42980</v>
      </c>
      <c r="G12" s="10">
        <f t="shared" si="0"/>
        <v>104958</v>
      </c>
    </row>
    <row r="13" spans="1:7" x14ac:dyDescent="0.3">
      <c r="A13" s="3" t="s">
        <v>91</v>
      </c>
      <c r="B13" s="3">
        <v>2020</v>
      </c>
      <c r="C13" s="3" t="s">
        <v>98</v>
      </c>
      <c r="D13" s="3" t="s">
        <v>80</v>
      </c>
      <c r="E13" s="10">
        <v>73573</v>
      </c>
      <c r="F13" s="3">
        <v>54821</v>
      </c>
      <c r="G13" s="10">
        <f t="shared" si="0"/>
        <v>128394</v>
      </c>
    </row>
    <row r="14" spans="1:7" x14ac:dyDescent="0.3">
      <c r="A14" s="3" t="s">
        <v>91</v>
      </c>
      <c r="B14" s="3">
        <v>2020</v>
      </c>
      <c r="C14" s="3" t="s">
        <v>99</v>
      </c>
      <c r="D14" s="3" t="s">
        <v>81</v>
      </c>
      <c r="E14" s="10">
        <v>32201</v>
      </c>
      <c r="F14" s="3">
        <v>83245</v>
      </c>
      <c r="G14" s="10">
        <f t="shared" si="0"/>
        <v>115446</v>
      </c>
    </row>
    <row r="15" spans="1:7" x14ac:dyDescent="0.3">
      <c r="A15" s="3" t="s">
        <v>91</v>
      </c>
      <c r="B15" s="3">
        <v>2020</v>
      </c>
      <c r="C15" s="3" t="s">
        <v>99</v>
      </c>
      <c r="D15" s="3" t="s">
        <v>82</v>
      </c>
      <c r="E15" s="10">
        <v>57216</v>
      </c>
      <c r="F15" s="3">
        <v>25185</v>
      </c>
      <c r="G15" s="10">
        <f t="shared" si="0"/>
        <v>82401</v>
      </c>
    </row>
    <row r="16" spans="1:7" x14ac:dyDescent="0.3">
      <c r="A16" s="3" t="s">
        <v>91</v>
      </c>
      <c r="B16" s="3">
        <v>2020</v>
      </c>
      <c r="C16" s="3" t="s">
        <v>99</v>
      </c>
      <c r="D16" s="3" t="s">
        <v>83</v>
      </c>
      <c r="E16" s="10">
        <v>80806</v>
      </c>
      <c r="F16" s="3">
        <v>40057</v>
      </c>
      <c r="G16" s="10">
        <f t="shared" si="0"/>
        <v>120863</v>
      </c>
    </row>
    <row r="17" spans="1:7" x14ac:dyDescent="0.3">
      <c r="A17" s="3" t="s">
        <v>91</v>
      </c>
      <c r="B17" s="3">
        <v>2019</v>
      </c>
      <c r="C17" s="3" t="s">
        <v>96</v>
      </c>
      <c r="D17" s="3" t="s">
        <v>72</v>
      </c>
      <c r="E17" s="3">
        <v>54826</v>
      </c>
      <c r="F17" s="3">
        <v>99834</v>
      </c>
      <c r="G17" s="10">
        <f t="shared" si="0"/>
        <v>154660</v>
      </c>
    </row>
    <row r="18" spans="1:7" x14ac:dyDescent="0.3">
      <c r="A18" s="3" t="s">
        <v>91</v>
      </c>
      <c r="B18" s="3">
        <v>2019</v>
      </c>
      <c r="C18" s="3" t="s">
        <v>96</v>
      </c>
      <c r="D18" s="3" t="s">
        <v>73</v>
      </c>
      <c r="E18" s="3">
        <v>78814</v>
      </c>
      <c r="F18" s="3">
        <v>59796</v>
      </c>
      <c r="G18" s="10">
        <f t="shared" si="0"/>
        <v>138610</v>
      </c>
    </row>
    <row r="19" spans="1:7" x14ac:dyDescent="0.3">
      <c r="A19" s="3" t="s">
        <v>91</v>
      </c>
      <c r="B19" s="3">
        <v>2019</v>
      </c>
      <c r="C19" s="3" t="s">
        <v>96</v>
      </c>
      <c r="D19" s="3" t="s">
        <v>74</v>
      </c>
      <c r="E19" s="3">
        <v>44032</v>
      </c>
      <c r="F19" s="3">
        <v>20530</v>
      </c>
      <c r="G19" s="10">
        <f t="shared" si="0"/>
        <v>64562</v>
      </c>
    </row>
    <row r="20" spans="1:7" x14ac:dyDescent="0.3">
      <c r="A20" s="3" t="s">
        <v>91</v>
      </c>
      <c r="B20" s="3">
        <v>2019</v>
      </c>
      <c r="C20" s="3" t="s">
        <v>97</v>
      </c>
      <c r="D20" s="3" t="s">
        <v>75</v>
      </c>
      <c r="E20" s="3">
        <v>90534</v>
      </c>
      <c r="F20" s="3">
        <v>98713</v>
      </c>
      <c r="G20" s="10">
        <f t="shared" si="0"/>
        <v>189247</v>
      </c>
    </row>
    <row r="21" spans="1:7" x14ac:dyDescent="0.3">
      <c r="A21" s="3" t="s">
        <v>91</v>
      </c>
      <c r="B21" s="3">
        <v>2019</v>
      </c>
      <c r="C21" s="3" t="s">
        <v>97</v>
      </c>
      <c r="D21" s="3" t="s">
        <v>76</v>
      </c>
      <c r="E21" s="3">
        <v>67164</v>
      </c>
      <c r="F21" s="3">
        <v>59957</v>
      </c>
      <c r="G21" s="10">
        <f t="shared" si="0"/>
        <v>127121</v>
      </c>
    </row>
    <row r="22" spans="1:7" x14ac:dyDescent="0.3">
      <c r="A22" s="3" t="s">
        <v>91</v>
      </c>
      <c r="B22" s="3">
        <v>2019</v>
      </c>
      <c r="C22" s="3" t="s">
        <v>97</v>
      </c>
      <c r="D22" s="3" t="s">
        <v>77</v>
      </c>
      <c r="E22" s="3">
        <v>64016</v>
      </c>
      <c r="F22" s="3">
        <v>65494</v>
      </c>
      <c r="G22" s="10">
        <f t="shared" si="0"/>
        <v>129510</v>
      </c>
    </row>
    <row r="23" spans="1:7" x14ac:dyDescent="0.3">
      <c r="A23" s="3" t="s">
        <v>91</v>
      </c>
      <c r="B23" s="3">
        <v>2019</v>
      </c>
      <c r="C23" s="3" t="s">
        <v>98</v>
      </c>
      <c r="D23" s="3" t="s">
        <v>78</v>
      </c>
      <c r="E23" s="3">
        <v>38859</v>
      </c>
      <c r="F23" s="3">
        <v>88864</v>
      </c>
      <c r="G23" s="10">
        <f t="shared" si="0"/>
        <v>127723</v>
      </c>
    </row>
    <row r="24" spans="1:7" x14ac:dyDescent="0.3">
      <c r="A24" s="3" t="s">
        <v>91</v>
      </c>
      <c r="B24" s="3">
        <v>2019</v>
      </c>
      <c r="C24" s="3" t="s">
        <v>98</v>
      </c>
      <c r="D24" s="3" t="s">
        <v>79</v>
      </c>
      <c r="E24" s="3">
        <v>82869</v>
      </c>
      <c r="F24" s="3">
        <v>75544</v>
      </c>
      <c r="G24" s="10">
        <f t="shared" si="0"/>
        <v>158413</v>
      </c>
    </row>
    <row r="25" spans="1:7" x14ac:dyDescent="0.3">
      <c r="A25" s="3" t="s">
        <v>91</v>
      </c>
      <c r="B25" s="3">
        <v>2019</v>
      </c>
      <c r="C25" s="3" t="s">
        <v>98</v>
      </c>
      <c r="D25" s="3" t="s">
        <v>80</v>
      </c>
      <c r="E25" s="3">
        <v>19826</v>
      </c>
      <c r="F25" s="3">
        <v>54361</v>
      </c>
      <c r="G25" s="10">
        <f t="shared" si="0"/>
        <v>74187</v>
      </c>
    </row>
    <row r="26" spans="1:7" x14ac:dyDescent="0.3">
      <c r="A26" s="3" t="s">
        <v>91</v>
      </c>
      <c r="B26" s="3">
        <v>2019</v>
      </c>
      <c r="C26" s="3" t="s">
        <v>99</v>
      </c>
      <c r="D26" s="3" t="s">
        <v>81</v>
      </c>
      <c r="E26" s="3">
        <v>11211</v>
      </c>
      <c r="F26" s="3">
        <v>54860</v>
      </c>
      <c r="G26" s="10">
        <f t="shared" si="0"/>
        <v>66071</v>
      </c>
    </row>
    <row r="27" spans="1:7" x14ac:dyDescent="0.3">
      <c r="A27" s="3" t="s">
        <v>91</v>
      </c>
      <c r="B27" s="3">
        <v>2019</v>
      </c>
      <c r="C27" s="3" t="s">
        <v>99</v>
      </c>
      <c r="D27" s="3" t="s">
        <v>82</v>
      </c>
      <c r="E27" s="3">
        <v>39559</v>
      </c>
      <c r="F27" s="3">
        <v>10876</v>
      </c>
      <c r="G27" s="10">
        <f t="shared" si="0"/>
        <v>50435</v>
      </c>
    </row>
    <row r="28" spans="1:7" x14ac:dyDescent="0.3">
      <c r="A28" s="3" t="s">
        <v>91</v>
      </c>
      <c r="B28" s="3">
        <v>2019</v>
      </c>
      <c r="C28" s="3" t="s">
        <v>99</v>
      </c>
      <c r="D28" s="3" t="s">
        <v>83</v>
      </c>
      <c r="E28" s="3">
        <v>19468</v>
      </c>
      <c r="F28" s="3">
        <v>18033</v>
      </c>
      <c r="G28" s="10">
        <f t="shared" si="0"/>
        <v>37501</v>
      </c>
    </row>
    <row r="29" spans="1:7" x14ac:dyDescent="0.3">
      <c r="A29" s="3" t="s">
        <v>92</v>
      </c>
      <c r="B29" s="3">
        <v>2020</v>
      </c>
      <c r="C29" s="3" t="s">
        <v>96</v>
      </c>
      <c r="D29" s="3" t="s">
        <v>72</v>
      </c>
      <c r="E29" s="3">
        <v>64821</v>
      </c>
      <c r="F29" s="3">
        <v>21362</v>
      </c>
      <c r="G29" s="10">
        <f t="shared" si="0"/>
        <v>86183</v>
      </c>
    </row>
    <row r="30" spans="1:7" x14ac:dyDescent="0.3">
      <c r="A30" s="3" t="s">
        <v>92</v>
      </c>
      <c r="B30" s="3">
        <v>2020</v>
      </c>
      <c r="C30" s="3" t="s">
        <v>96</v>
      </c>
      <c r="D30" s="3" t="s">
        <v>73</v>
      </c>
      <c r="E30" s="3">
        <v>78287</v>
      </c>
      <c r="F30" s="3">
        <v>52391</v>
      </c>
      <c r="G30" s="10">
        <f t="shared" si="0"/>
        <v>130678</v>
      </c>
    </row>
    <row r="31" spans="1:7" x14ac:dyDescent="0.3">
      <c r="A31" s="3" t="s">
        <v>92</v>
      </c>
      <c r="B31" s="3">
        <v>2020</v>
      </c>
      <c r="C31" s="3" t="s">
        <v>96</v>
      </c>
      <c r="D31" s="3" t="s">
        <v>74</v>
      </c>
      <c r="E31" s="3">
        <v>67007</v>
      </c>
      <c r="F31" s="3">
        <v>91477</v>
      </c>
      <c r="G31" s="10">
        <f t="shared" si="0"/>
        <v>158484</v>
      </c>
    </row>
    <row r="32" spans="1:7" x14ac:dyDescent="0.3">
      <c r="A32" s="3" t="s">
        <v>92</v>
      </c>
      <c r="B32" s="3">
        <v>2020</v>
      </c>
      <c r="C32" s="3" t="s">
        <v>97</v>
      </c>
      <c r="D32" s="3" t="s">
        <v>75</v>
      </c>
      <c r="E32" s="3">
        <v>78138</v>
      </c>
      <c r="F32" s="3">
        <v>18182</v>
      </c>
      <c r="G32" s="10">
        <f t="shared" si="0"/>
        <v>96320</v>
      </c>
    </row>
    <row r="33" spans="1:7" x14ac:dyDescent="0.3">
      <c r="A33" s="3" t="s">
        <v>92</v>
      </c>
      <c r="B33" s="3">
        <v>2020</v>
      </c>
      <c r="C33" s="3" t="s">
        <v>97</v>
      </c>
      <c r="D33" s="3" t="s">
        <v>76</v>
      </c>
      <c r="E33" s="3">
        <v>91312</v>
      </c>
      <c r="F33" s="3">
        <v>36939</v>
      </c>
      <c r="G33" s="10">
        <f t="shared" si="0"/>
        <v>128251</v>
      </c>
    </row>
    <row r="34" spans="1:7" x14ac:dyDescent="0.3">
      <c r="A34" s="3" t="s">
        <v>92</v>
      </c>
      <c r="B34" s="3">
        <v>2020</v>
      </c>
      <c r="C34" s="3" t="s">
        <v>97</v>
      </c>
      <c r="D34" s="3" t="s">
        <v>77</v>
      </c>
      <c r="E34" s="3">
        <v>56131</v>
      </c>
      <c r="F34" s="3">
        <v>47351</v>
      </c>
      <c r="G34" s="10">
        <f t="shared" si="0"/>
        <v>103482</v>
      </c>
    </row>
    <row r="35" spans="1:7" x14ac:dyDescent="0.3">
      <c r="A35" s="3" t="s">
        <v>92</v>
      </c>
      <c r="B35" s="3">
        <v>2020</v>
      </c>
      <c r="C35" s="3" t="s">
        <v>98</v>
      </c>
      <c r="D35" s="3" t="s">
        <v>78</v>
      </c>
      <c r="E35" s="3">
        <v>23663</v>
      </c>
      <c r="F35" s="3">
        <v>88015</v>
      </c>
      <c r="G35" s="10">
        <f t="shared" si="0"/>
        <v>111678</v>
      </c>
    </row>
    <row r="36" spans="1:7" x14ac:dyDescent="0.3">
      <c r="A36" s="3" t="s">
        <v>92</v>
      </c>
      <c r="B36" s="3">
        <v>2020</v>
      </c>
      <c r="C36" s="3" t="s">
        <v>98</v>
      </c>
      <c r="D36" s="3" t="s">
        <v>79</v>
      </c>
      <c r="E36" s="3">
        <v>83957</v>
      </c>
      <c r="F36" s="3">
        <v>82043</v>
      </c>
      <c r="G36" s="10">
        <f t="shared" si="0"/>
        <v>166000</v>
      </c>
    </row>
    <row r="37" spans="1:7" x14ac:dyDescent="0.3">
      <c r="A37" s="3" t="s">
        <v>92</v>
      </c>
      <c r="B37" s="3">
        <v>2020</v>
      </c>
      <c r="C37" s="3" t="s">
        <v>98</v>
      </c>
      <c r="D37" s="3" t="s">
        <v>80</v>
      </c>
      <c r="E37" s="3">
        <v>42445</v>
      </c>
      <c r="F37" s="3">
        <v>94521</v>
      </c>
      <c r="G37" s="10">
        <f t="shared" si="0"/>
        <v>136966</v>
      </c>
    </row>
    <row r="38" spans="1:7" x14ac:dyDescent="0.3">
      <c r="A38" s="3" t="s">
        <v>92</v>
      </c>
      <c r="B38" s="3">
        <v>2020</v>
      </c>
      <c r="C38" s="3" t="s">
        <v>99</v>
      </c>
      <c r="D38" s="3" t="s">
        <v>81</v>
      </c>
      <c r="E38" s="3">
        <v>47743</v>
      </c>
      <c r="F38" s="3">
        <v>65289</v>
      </c>
      <c r="G38" s="10">
        <f t="shared" si="0"/>
        <v>113032</v>
      </c>
    </row>
    <row r="39" spans="1:7" x14ac:dyDescent="0.3">
      <c r="A39" s="3" t="s">
        <v>92</v>
      </c>
      <c r="B39" s="3">
        <v>2020</v>
      </c>
      <c r="C39" s="3" t="s">
        <v>99</v>
      </c>
      <c r="D39" s="3" t="s">
        <v>82</v>
      </c>
      <c r="E39" s="3">
        <v>13164</v>
      </c>
      <c r="F39" s="3">
        <v>24484</v>
      </c>
      <c r="G39" s="10">
        <f t="shared" si="0"/>
        <v>37648</v>
      </c>
    </row>
    <row r="40" spans="1:7" x14ac:dyDescent="0.3">
      <c r="A40" s="3" t="s">
        <v>92</v>
      </c>
      <c r="B40" s="3">
        <v>2020</v>
      </c>
      <c r="C40" s="3" t="s">
        <v>99</v>
      </c>
      <c r="D40" s="3" t="s">
        <v>83</v>
      </c>
      <c r="E40" s="3">
        <v>27245</v>
      </c>
      <c r="F40" s="3">
        <v>36355</v>
      </c>
      <c r="G40" s="10">
        <f t="shared" si="0"/>
        <v>63600</v>
      </c>
    </row>
    <row r="41" spans="1:7" x14ac:dyDescent="0.3">
      <c r="A41" s="3" t="s">
        <v>92</v>
      </c>
      <c r="B41" s="3">
        <v>2019</v>
      </c>
      <c r="C41" s="3" t="s">
        <v>96</v>
      </c>
      <c r="D41" s="3" t="s">
        <v>72</v>
      </c>
      <c r="E41" s="3">
        <v>60738</v>
      </c>
      <c r="F41" s="3">
        <v>70467</v>
      </c>
      <c r="G41" s="10">
        <f t="shared" si="0"/>
        <v>131205</v>
      </c>
    </row>
    <row r="42" spans="1:7" x14ac:dyDescent="0.3">
      <c r="A42" s="3" t="s">
        <v>92</v>
      </c>
      <c r="B42" s="3">
        <v>2019</v>
      </c>
      <c r="C42" s="3" t="s">
        <v>96</v>
      </c>
      <c r="D42" s="3" t="s">
        <v>73</v>
      </c>
      <c r="E42" s="3">
        <v>72397</v>
      </c>
      <c r="F42" s="3">
        <v>98339</v>
      </c>
      <c r="G42" s="10">
        <f t="shared" si="0"/>
        <v>170736</v>
      </c>
    </row>
    <row r="43" spans="1:7" x14ac:dyDescent="0.3">
      <c r="A43" s="3" t="s">
        <v>92</v>
      </c>
      <c r="B43" s="3">
        <v>2019</v>
      </c>
      <c r="C43" s="3" t="s">
        <v>96</v>
      </c>
      <c r="D43" s="3" t="s">
        <v>74</v>
      </c>
      <c r="E43" s="3">
        <v>25371</v>
      </c>
      <c r="F43" s="3">
        <v>95851</v>
      </c>
      <c r="G43" s="10">
        <f t="shared" si="0"/>
        <v>121222</v>
      </c>
    </row>
    <row r="44" spans="1:7" x14ac:dyDescent="0.3">
      <c r="A44" s="3" t="s">
        <v>92</v>
      </c>
      <c r="B44" s="3">
        <v>2019</v>
      </c>
      <c r="C44" s="3" t="s">
        <v>97</v>
      </c>
      <c r="D44" s="3" t="s">
        <v>75</v>
      </c>
      <c r="E44" s="3">
        <v>30294</v>
      </c>
      <c r="F44" s="3">
        <v>99575</v>
      </c>
      <c r="G44" s="10">
        <f t="shared" si="0"/>
        <v>129869</v>
      </c>
    </row>
    <row r="45" spans="1:7" x14ac:dyDescent="0.3">
      <c r="A45" s="3" t="s">
        <v>92</v>
      </c>
      <c r="B45" s="3">
        <v>2019</v>
      </c>
      <c r="C45" s="3" t="s">
        <v>97</v>
      </c>
      <c r="D45" s="3" t="s">
        <v>76</v>
      </c>
      <c r="E45" s="3">
        <v>80662</v>
      </c>
      <c r="F45" s="3">
        <v>44031</v>
      </c>
      <c r="G45" s="10">
        <f t="shared" si="0"/>
        <v>124693</v>
      </c>
    </row>
    <row r="46" spans="1:7" x14ac:dyDescent="0.3">
      <c r="A46" s="3" t="s">
        <v>92</v>
      </c>
      <c r="B46" s="3">
        <v>2019</v>
      </c>
      <c r="C46" s="3" t="s">
        <v>97</v>
      </c>
      <c r="D46" s="3" t="s">
        <v>77</v>
      </c>
      <c r="E46" s="3">
        <v>45817</v>
      </c>
      <c r="F46" s="3">
        <v>30777</v>
      </c>
      <c r="G46" s="10">
        <f t="shared" si="0"/>
        <v>76594</v>
      </c>
    </row>
    <row r="47" spans="1:7" x14ac:dyDescent="0.3">
      <c r="A47" s="3" t="s">
        <v>92</v>
      </c>
      <c r="B47" s="3">
        <v>2019</v>
      </c>
      <c r="C47" s="3" t="s">
        <v>98</v>
      </c>
      <c r="D47" s="3" t="s">
        <v>78</v>
      </c>
      <c r="E47" s="3">
        <v>43321</v>
      </c>
      <c r="F47" s="3">
        <v>54686</v>
      </c>
      <c r="G47" s="10">
        <f t="shared" si="0"/>
        <v>98007</v>
      </c>
    </row>
    <row r="48" spans="1:7" x14ac:dyDescent="0.3">
      <c r="A48" s="3" t="s">
        <v>92</v>
      </c>
      <c r="B48" s="3">
        <v>2019</v>
      </c>
      <c r="C48" s="3" t="s">
        <v>98</v>
      </c>
      <c r="D48" s="3" t="s">
        <v>79</v>
      </c>
      <c r="E48" s="3">
        <v>93215</v>
      </c>
      <c r="F48" s="3">
        <v>98415</v>
      </c>
      <c r="G48" s="10">
        <f t="shared" si="0"/>
        <v>191630</v>
      </c>
    </row>
    <row r="49" spans="1:7" x14ac:dyDescent="0.3">
      <c r="A49" s="3" t="s">
        <v>92</v>
      </c>
      <c r="B49" s="3">
        <v>2019</v>
      </c>
      <c r="C49" s="3" t="s">
        <v>98</v>
      </c>
      <c r="D49" s="3" t="s">
        <v>80</v>
      </c>
      <c r="E49" s="3">
        <v>94852</v>
      </c>
      <c r="F49" s="3">
        <v>52330</v>
      </c>
      <c r="G49" s="10">
        <f t="shared" si="0"/>
        <v>147182</v>
      </c>
    </row>
    <row r="50" spans="1:7" x14ac:dyDescent="0.3">
      <c r="A50" s="3" t="s">
        <v>92</v>
      </c>
      <c r="B50" s="3">
        <v>2019</v>
      </c>
      <c r="C50" s="3" t="s">
        <v>99</v>
      </c>
      <c r="D50" s="3" t="s">
        <v>81</v>
      </c>
      <c r="E50" s="3">
        <v>42183</v>
      </c>
      <c r="F50" s="3">
        <v>92520</v>
      </c>
      <c r="G50" s="10">
        <f t="shared" si="0"/>
        <v>134703</v>
      </c>
    </row>
    <row r="51" spans="1:7" x14ac:dyDescent="0.3">
      <c r="A51" s="3" t="s">
        <v>92</v>
      </c>
      <c r="B51" s="3">
        <v>2019</v>
      </c>
      <c r="C51" s="3" t="s">
        <v>99</v>
      </c>
      <c r="D51" s="3" t="s">
        <v>82</v>
      </c>
      <c r="E51" s="3">
        <v>89535</v>
      </c>
      <c r="F51" s="3">
        <v>23621</v>
      </c>
      <c r="G51" s="10">
        <f t="shared" si="0"/>
        <v>113156</v>
      </c>
    </row>
    <row r="52" spans="1:7" x14ac:dyDescent="0.3">
      <c r="A52" s="3" t="s">
        <v>92</v>
      </c>
      <c r="B52" s="3">
        <v>2019</v>
      </c>
      <c r="C52" s="3" t="s">
        <v>99</v>
      </c>
      <c r="D52" s="3" t="s">
        <v>83</v>
      </c>
      <c r="E52" s="3">
        <v>13659</v>
      </c>
      <c r="F52" s="3">
        <v>67622</v>
      </c>
      <c r="G52" s="10">
        <f t="shared" si="0"/>
        <v>81281</v>
      </c>
    </row>
    <row r="53" spans="1:7" x14ac:dyDescent="0.3">
      <c r="A53" s="3" t="s">
        <v>93</v>
      </c>
      <c r="B53" s="3">
        <v>2020</v>
      </c>
      <c r="C53" s="3" t="s">
        <v>96</v>
      </c>
      <c r="D53" s="3" t="s">
        <v>72</v>
      </c>
      <c r="E53" s="3">
        <v>14302</v>
      </c>
      <c r="F53" s="3">
        <v>24939</v>
      </c>
      <c r="G53" s="10">
        <f t="shared" si="0"/>
        <v>39241</v>
      </c>
    </row>
    <row r="54" spans="1:7" x14ac:dyDescent="0.3">
      <c r="A54" s="3" t="s">
        <v>93</v>
      </c>
      <c r="B54" s="3">
        <v>2020</v>
      </c>
      <c r="C54" s="3" t="s">
        <v>96</v>
      </c>
      <c r="D54" s="3" t="s">
        <v>73</v>
      </c>
      <c r="E54" s="3">
        <v>36435</v>
      </c>
      <c r="F54" s="3">
        <v>84554</v>
      </c>
      <c r="G54" s="10">
        <f t="shared" si="0"/>
        <v>120989</v>
      </c>
    </row>
    <row r="55" spans="1:7" x14ac:dyDescent="0.3">
      <c r="A55" s="3" t="s">
        <v>93</v>
      </c>
      <c r="B55" s="3">
        <v>2020</v>
      </c>
      <c r="C55" s="3" t="s">
        <v>96</v>
      </c>
      <c r="D55" s="3" t="s">
        <v>74</v>
      </c>
      <c r="E55" s="3">
        <v>40141</v>
      </c>
      <c r="F55" s="3">
        <v>15501</v>
      </c>
      <c r="G55" s="10">
        <f t="shared" si="0"/>
        <v>55642</v>
      </c>
    </row>
    <row r="56" spans="1:7" x14ac:dyDescent="0.3">
      <c r="A56" s="3" t="s">
        <v>93</v>
      </c>
      <c r="B56" s="3">
        <v>2020</v>
      </c>
      <c r="C56" s="3" t="s">
        <v>97</v>
      </c>
      <c r="D56" s="3" t="s">
        <v>75</v>
      </c>
      <c r="E56" s="3">
        <v>73436</v>
      </c>
      <c r="F56" s="3">
        <v>82332</v>
      </c>
      <c r="G56" s="10">
        <f t="shared" si="0"/>
        <v>155768</v>
      </c>
    </row>
    <row r="57" spans="1:7" x14ac:dyDescent="0.3">
      <c r="A57" s="3" t="s">
        <v>93</v>
      </c>
      <c r="B57" s="3">
        <v>2020</v>
      </c>
      <c r="C57" s="3" t="s">
        <v>97</v>
      </c>
      <c r="D57" s="3" t="s">
        <v>76</v>
      </c>
      <c r="E57" s="3">
        <v>49942</v>
      </c>
      <c r="F57" s="3">
        <v>78069</v>
      </c>
      <c r="G57" s="10">
        <f t="shared" si="0"/>
        <v>128011</v>
      </c>
    </row>
    <row r="58" spans="1:7" x14ac:dyDescent="0.3">
      <c r="A58" s="3" t="s">
        <v>93</v>
      </c>
      <c r="B58" s="3">
        <v>2020</v>
      </c>
      <c r="C58" s="3" t="s">
        <v>97</v>
      </c>
      <c r="D58" s="3" t="s">
        <v>77</v>
      </c>
      <c r="E58" s="3">
        <v>43361</v>
      </c>
      <c r="F58" s="3">
        <v>49595</v>
      </c>
      <c r="G58" s="10">
        <f t="shared" si="0"/>
        <v>92956</v>
      </c>
    </row>
    <row r="59" spans="1:7" x14ac:dyDescent="0.3">
      <c r="A59" s="3" t="s">
        <v>93</v>
      </c>
      <c r="B59" s="3">
        <v>2020</v>
      </c>
      <c r="C59" s="3" t="s">
        <v>98</v>
      </c>
      <c r="D59" s="3" t="s">
        <v>78</v>
      </c>
      <c r="E59" s="3">
        <v>37497</v>
      </c>
      <c r="F59" s="3">
        <v>18592</v>
      </c>
      <c r="G59" s="10">
        <f t="shared" si="0"/>
        <v>56089</v>
      </c>
    </row>
    <row r="60" spans="1:7" x14ac:dyDescent="0.3">
      <c r="A60" s="3" t="s">
        <v>93</v>
      </c>
      <c r="B60" s="3">
        <v>2020</v>
      </c>
      <c r="C60" s="3" t="s">
        <v>98</v>
      </c>
      <c r="D60" s="3" t="s">
        <v>79</v>
      </c>
      <c r="E60" s="3">
        <v>55338</v>
      </c>
      <c r="F60" s="3">
        <v>91021</v>
      </c>
      <c r="G60" s="10">
        <f t="shared" si="0"/>
        <v>146359</v>
      </c>
    </row>
    <row r="61" spans="1:7" x14ac:dyDescent="0.3">
      <c r="A61" s="3" t="s">
        <v>93</v>
      </c>
      <c r="B61" s="3">
        <v>2020</v>
      </c>
      <c r="C61" s="3" t="s">
        <v>98</v>
      </c>
      <c r="D61" s="3" t="s">
        <v>80</v>
      </c>
      <c r="E61" s="3">
        <v>12996</v>
      </c>
      <c r="F61" s="3">
        <v>31609</v>
      </c>
      <c r="G61" s="10">
        <f t="shared" si="0"/>
        <v>44605</v>
      </c>
    </row>
    <row r="62" spans="1:7" x14ac:dyDescent="0.3">
      <c r="A62" s="3" t="s">
        <v>93</v>
      </c>
      <c r="B62" s="3">
        <v>2020</v>
      </c>
      <c r="C62" s="3" t="s">
        <v>99</v>
      </c>
      <c r="D62" s="3" t="s">
        <v>81</v>
      </c>
      <c r="E62" s="3">
        <v>98549</v>
      </c>
      <c r="F62" s="3">
        <v>64996</v>
      </c>
      <c r="G62" s="10">
        <f t="shared" si="0"/>
        <v>163545</v>
      </c>
    </row>
    <row r="63" spans="1:7" x14ac:dyDescent="0.3">
      <c r="A63" s="3" t="s">
        <v>93</v>
      </c>
      <c r="B63" s="3">
        <v>2020</v>
      </c>
      <c r="C63" s="3" t="s">
        <v>99</v>
      </c>
      <c r="D63" s="3" t="s">
        <v>82</v>
      </c>
      <c r="E63" s="3">
        <v>69264</v>
      </c>
      <c r="F63" s="3">
        <v>17852</v>
      </c>
      <c r="G63" s="10">
        <f t="shared" si="0"/>
        <v>87116</v>
      </c>
    </row>
    <row r="64" spans="1:7" x14ac:dyDescent="0.3">
      <c r="A64" s="3" t="s">
        <v>93</v>
      </c>
      <c r="B64" s="3">
        <v>2020</v>
      </c>
      <c r="C64" s="3" t="s">
        <v>99</v>
      </c>
      <c r="D64" s="3" t="s">
        <v>83</v>
      </c>
      <c r="E64" s="3">
        <v>94612</v>
      </c>
      <c r="F64" s="3">
        <v>68521</v>
      </c>
      <c r="G64" s="10">
        <f t="shared" si="0"/>
        <v>163133</v>
      </c>
    </row>
    <row r="65" spans="1:7" x14ac:dyDescent="0.3">
      <c r="A65" s="3" t="s">
        <v>93</v>
      </c>
      <c r="B65" s="3">
        <v>2019</v>
      </c>
      <c r="C65" s="3" t="s">
        <v>96</v>
      </c>
      <c r="D65" s="3" t="s">
        <v>72</v>
      </c>
      <c r="E65" s="3">
        <v>92103</v>
      </c>
      <c r="F65" s="3">
        <v>51022</v>
      </c>
      <c r="G65" s="10">
        <f t="shared" si="0"/>
        <v>143125</v>
      </c>
    </row>
    <row r="66" spans="1:7" x14ac:dyDescent="0.3">
      <c r="A66" s="3" t="s">
        <v>93</v>
      </c>
      <c r="B66" s="3">
        <v>2019</v>
      </c>
      <c r="C66" s="3" t="s">
        <v>96</v>
      </c>
      <c r="D66" s="3" t="s">
        <v>73</v>
      </c>
      <c r="E66" s="3">
        <v>81951</v>
      </c>
      <c r="F66" s="3">
        <v>55570</v>
      </c>
      <c r="G66" s="10">
        <f t="shared" si="0"/>
        <v>137521</v>
      </c>
    </row>
    <row r="67" spans="1:7" x14ac:dyDescent="0.3">
      <c r="A67" s="3" t="s">
        <v>93</v>
      </c>
      <c r="B67" s="3">
        <v>2019</v>
      </c>
      <c r="C67" s="3" t="s">
        <v>96</v>
      </c>
      <c r="D67" s="3" t="s">
        <v>74</v>
      </c>
      <c r="E67" s="3">
        <v>53039</v>
      </c>
      <c r="F67" s="3">
        <v>76997</v>
      </c>
      <c r="G67" s="10">
        <f t="shared" si="0"/>
        <v>130036</v>
      </c>
    </row>
    <row r="68" spans="1:7" x14ac:dyDescent="0.3">
      <c r="A68" s="3" t="s">
        <v>93</v>
      </c>
      <c r="B68" s="3">
        <v>2019</v>
      </c>
      <c r="C68" s="3" t="s">
        <v>97</v>
      </c>
      <c r="D68" s="3" t="s">
        <v>75</v>
      </c>
      <c r="E68" s="3">
        <v>67436</v>
      </c>
      <c r="F68" s="3">
        <v>55036</v>
      </c>
      <c r="G68" s="10">
        <f t="shared" si="0"/>
        <v>122472</v>
      </c>
    </row>
    <row r="69" spans="1:7" x14ac:dyDescent="0.3">
      <c r="A69" s="3" t="s">
        <v>93</v>
      </c>
      <c r="B69" s="3">
        <v>2019</v>
      </c>
      <c r="C69" s="3" t="s">
        <v>97</v>
      </c>
      <c r="D69" s="3" t="s">
        <v>76</v>
      </c>
      <c r="E69" s="3">
        <v>52364</v>
      </c>
      <c r="F69" s="3">
        <v>71851</v>
      </c>
      <c r="G69" s="10">
        <f t="shared" si="0"/>
        <v>124215</v>
      </c>
    </row>
    <row r="70" spans="1:7" x14ac:dyDescent="0.3">
      <c r="A70" s="3" t="s">
        <v>93</v>
      </c>
      <c r="B70" s="3">
        <v>2019</v>
      </c>
      <c r="C70" s="3" t="s">
        <v>97</v>
      </c>
      <c r="D70" s="3" t="s">
        <v>77</v>
      </c>
      <c r="E70" s="3">
        <v>52259</v>
      </c>
      <c r="F70" s="3">
        <v>14126</v>
      </c>
      <c r="G70" s="10">
        <f t="shared" ref="G70:G76" si="1">SUM(E70:F70)</f>
        <v>66385</v>
      </c>
    </row>
    <row r="71" spans="1:7" x14ac:dyDescent="0.3">
      <c r="A71" s="3" t="s">
        <v>93</v>
      </c>
      <c r="B71" s="3">
        <v>2019</v>
      </c>
      <c r="C71" s="3" t="s">
        <v>98</v>
      </c>
      <c r="D71" s="3" t="s">
        <v>78</v>
      </c>
      <c r="E71" s="3">
        <v>42538</v>
      </c>
      <c r="F71" s="3">
        <v>68437</v>
      </c>
      <c r="G71" s="10">
        <f t="shared" si="1"/>
        <v>110975</v>
      </c>
    </row>
    <row r="72" spans="1:7" x14ac:dyDescent="0.3">
      <c r="A72" s="3" t="s">
        <v>93</v>
      </c>
      <c r="B72" s="3">
        <v>2019</v>
      </c>
      <c r="C72" s="3" t="s">
        <v>98</v>
      </c>
      <c r="D72" s="3" t="s">
        <v>79</v>
      </c>
      <c r="E72" s="3">
        <v>37122</v>
      </c>
      <c r="F72" s="3">
        <v>47320</v>
      </c>
      <c r="G72" s="10">
        <f t="shared" si="1"/>
        <v>84442</v>
      </c>
    </row>
    <row r="73" spans="1:7" x14ac:dyDescent="0.3">
      <c r="A73" s="3" t="s">
        <v>93</v>
      </c>
      <c r="B73" s="3">
        <v>2019</v>
      </c>
      <c r="C73" s="3" t="s">
        <v>98</v>
      </c>
      <c r="D73" s="3" t="s">
        <v>80</v>
      </c>
      <c r="E73" s="3">
        <v>17927</v>
      </c>
      <c r="F73" s="3">
        <v>14587</v>
      </c>
      <c r="G73" s="10">
        <f t="shared" si="1"/>
        <v>32514</v>
      </c>
    </row>
    <row r="74" spans="1:7" x14ac:dyDescent="0.3">
      <c r="A74" s="3" t="s">
        <v>93</v>
      </c>
      <c r="B74" s="3">
        <v>2019</v>
      </c>
      <c r="C74" s="3" t="s">
        <v>99</v>
      </c>
      <c r="D74" s="3" t="s">
        <v>81</v>
      </c>
      <c r="E74" s="3">
        <v>41161</v>
      </c>
      <c r="F74" s="3">
        <v>50209</v>
      </c>
      <c r="G74" s="10">
        <f t="shared" si="1"/>
        <v>91370</v>
      </c>
    </row>
    <row r="75" spans="1:7" x14ac:dyDescent="0.3">
      <c r="A75" s="3" t="s">
        <v>93</v>
      </c>
      <c r="B75" s="3">
        <v>2019</v>
      </c>
      <c r="C75" s="3" t="s">
        <v>99</v>
      </c>
      <c r="D75" s="3" t="s">
        <v>82</v>
      </c>
      <c r="E75" s="3">
        <v>71167</v>
      </c>
      <c r="F75" s="3">
        <v>91561</v>
      </c>
      <c r="G75" s="10">
        <f t="shared" si="1"/>
        <v>162728</v>
      </c>
    </row>
    <row r="76" spans="1:7" x14ac:dyDescent="0.3">
      <c r="A76" s="3" t="s">
        <v>93</v>
      </c>
      <c r="B76" s="3">
        <v>2019</v>
      </c>
      <c r="C76" s="3" t="s">
        <v>99</v>
      </c>
      <c r="D76" s="3" t="s">
        <v>83</v>
      </c>
      <c r="E76" s="3">
        <v>36103</v>
      </c>
      <c r="F76" s="3">
        <v>85095</v>
      </c>
      <c r="G76" s="10">
        <f t="shared" si="1"/>
        <v>121198</v>
      </c>
    </row>
  </sheetData>
  <mergeCells count="2">
    <mergeCell ref="A1:G1"/>
    <mergeCell ref="A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7C28DC-9DC2-4489-A1C6-D773711CAC3B}"/>
</file>

<file path=customXml/itemProps2.xml><?xml version="1.0" encoding="utf-8"?>
<ds:datastoreItem xmlns:ds="http://schemas.openxmlformats.org/officeDocument/2006/customXml" ds:itemID="{99B35959-211F-40E8-B437-9CE395DAD4AE}"/>
</file>

<file path=customXml/itemProps3.xml><?xml version="1.0" encoding="utf-8"?>
<ds:datastoreItem xmlns:ds="http://schemas.openxmlformats.org/officeDocument/2006/customXml" ds:itemID="{0456FA79-3518-4B70-9EBF-CD778A618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摘要</vt:lpstr>
      <vt:lpstr>2018年</vt:lpstr>
      <vt:lpstr>2019年</vt:lpstr>
      <vt:lpstr>2020年</vt:lpstr>
      <vt:lpstr>2021年</vt:lpstr>
      <vt:lpstr>貨櫃樞紐分析</vt:lpstr>
      <vt:lpstr>貨櫃量</vt:lpstr>
      <vt:lpstr>貨櫃量分析圖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Yvonne</cp:lastModifiedBy>
  <dcterms:created xsi:type="dcterms:W3CDTF">2021-05-14T13:29:39Z</dcterms:created>
  <dcterms:modified xsi:type="dcterms:W3CDTF">2021-05-14T14:24:07Z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