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filterPrivacy="1" defaultThemeVersion="124226"/>
  <xr:revisionPtr revIDLastSave="0" documentId="13_ncr:1_{ABD9BECA-5A20-4971-AF39-4344C9CE3FFD}" xr6:coauthVersionLast="46" xr6:coauthVersionMax="46" xr10:uidLastSave="{00000000-0000-0000-0000-000000000000}"/>
  <bookViews>
    <workbookView xWindow="690" yWindow="705" windowWidth="24330" windowHeight="10620" xr2:uid="{00000000-000D-0000-FFFF-FFFF00000000}"/>
  </bookViews>
  <sheets>
    <sheet name="訂單" sheetId="1" r:id="rId1"/>
    <sheet name="績效" sheetId="6" r:id="rId2"/>
    <sheet name="獎金比例" sheetId="2" r:id="rId3"/>
    <sheet name="考績" sheetId="4" r:id="rId4"/>
  </sheets>
  <definedNames>
    <definedName name="_xlnm._FilterDatabase" localSheetId="0" hidden="1">訂單!$B$2:$L$374</definedName>
    <definedName name="獎金比例對照表">獎金比例!$B$3:$E$10</definedName>
  </definedNames>
  <calcPr calcId="191029"/>
  <pivotCaches>
    <pivotCache cacheId="12" r:id="rId5"/>
  </pivotCaches>
</workbook>
</file>

<file path=xl/calcChain.xml><?xml version="1.0" encoding="utf-8"?>
<calcChain xmlns="http://schemas.openxmlformats.org/spreadsheetml/2006/main">
  <c r="I361" i="1" l="1"/>
  <c r="L361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I3" i="1"/>
  <c r="I4" i="1"/>
  <c r="L4" i="1" s="1"/>
  <c r="I5" i="1"/>
  <c r="L5" i="1" s="1"/>
  <c r="I6" i="1"/>
  <c r="L6" i="1" s="1"/>
  <c r="I7" i="1"/>
  <c r="L7" i="1" s="1"/>
  <c r="I8" i="1"/>
  <c r="I9" i="1"/>
  <c r="L9" i="1" s="1"/>
  <c r="I10" i="1"/>
  <c r="I11" i="1"/>
  <c r="I12" i="1"/>
  <c r="L12" i="1" s="1"/>
  <c r="I13" i="1"/>
  <c r="L13" i="1" s="1"/>
  <c r="I14" i="1"/>
  <c r="I15" i="1"/>
  <c r="L15" i="1" s="1"/>
  <c r="I16" i="1"/>
  <c r="I17" i="1"/>
  <c r="L17" i="1" s="1"/>
  <c r="I18" i="1"/>
  <c r="I19" i="1"/>
  <c r="I20" i="1"/>
  <c r="L20" i="1" s="1"/>
  <c r="I21" i="1"/>
  <c r="L21" i="1" s="1"/>
  <c r="I22" i="1"/>
  <c r="L22" i="1" s="1"/>
  <c r="I23" i="1"/>
  <c r="L23" i="1" s="1"/>
  <c r="I24" i="1"/>
  <c r="I25" i="1"/>
  <c r="L25" i="1" s="1"/>
  <c r="I26" i="1"/>
  <c r="I27" i="1"/>
  <c r="I28" i="1"/>
  <c r="L28" i="1" s="1"/>
  <c r="I29" i="1"/>
  <c r="L29" i="1" s="1"/>
  <c r="I30" i="1"/>
  <c r="L30" i="1" s="1"/>
  <c r="I31" i="1"/>
  <c r="L31" i="1" s="1"/>
  <c r="I32" i="1"/>
  <c r="I33" i="1"/>
  <c r="L33" i="1" s="1"/>
  <c r="I34" i="1"/>
  <c r="I35" i="1"/>
  <c r="I36" i="1"/>
  <c r="L36" i="1" s="1"/>
  <c r="I37" i="1"/>
  <c r="L37" i="1" s="1"/>
  <c r="I38" i="1"/>
  <c r="I39" i="1"/>
  <c r="I40" i="1"/>
  <c r="I41" i="1"/>
  <c r="L41" i="1" s="1"/>
  <c r="I42" i="1"/>
  <c r="I43" i="1"/>
  <c r="I44" i="1"/>
  <c r="L44" i="1" s="1"/>
  <c r="I45" i="1"/>
  <c r="L45" i="1" s="1"/>
  <c r="I46" i="1"/>
  <c r="L46" i="1" s="1"/>
  <c r="I47" i="1"/>
  <c r="L47" i="1" s="1"/>
  <c r="I48" i="1"/>
  <c r="I49" i="1"/>
  <c r="L49" i="1" s="1"/>
  <c r="I50" i="1"/>
  <c r="I51" i="1"/>
  <c r="I52" i="1"/>
  <c r="L52" i="1" s="1"/>
  <c r="I53" i="1"/>
  <c r="L53" i="1" s="1"/>
  <c r="I54" i="1"/>
  <c r="L54" i="1" s="1"/>
  <c r="I55" i="1"/>
  <c r="L55" i="1" s="1"/>
  <c r="I56" i="1"/>
  <c r="I57" i="1"/>
  <c r="L57" i="1" s="1"/>
  <c r="I58" i="1"/>
  <c r="I59" i="1"/>
  <c r="I60" i="1"/>
  <c r="L60" i="1" s="1"/>
  <c r="I61" i="1"/>
  <c r="L61" i="1" s="1"/>
  <c r="I62" i="1"/>
  <c r="L62" i="1" s="1"/>
  <c r="I63" i="1"/>
  <c r="L63" i="1" s="1"/>
  <c r="I64" i="1"/>
  <c r="I65" i="1"/>
  <c r="L65" i="1" s="1"/>
  <c r="I66" i="1"/>
  <c r="I67" i="1"/>
  <c r="I68" i="1"/>
  <c r="L68" i="1" s="1"/>
  <c r="I69" i="1"/>
  <c r="L69" i="1" s="1"/>
  <c r="I70" i="1"/>
  <c r="I71" i="1"/>
  <c r="L71" i="1" s="1"/>
  <c r="I72" i="1"/>
  <c r="I73" i="1"/>
  <c r="L73" i="1" s="1"/>
  <c r="I74" i="1"/>
  <c r="I75" i="1"/>
  <c r="I76" i="1"/>
  <c r="L76" i="1" s="1"/>
  <c r="I77" i="1"/>
  <c r="L77" i="1" s="1"/>
  <c r="I78" i="1"/>
  <c r="L78" i="1" s="1"/>
  <c r="I79" i="1"/>
  <c r="L79" i="1" s="1"/>
  <c r="I80" i="1"/>
  <c r="I81" i="1"/>
  <c r="I82" i="1"/>
  <c r="I83" i="1"/>
  <c r="I84" i="1"/>
  <c r="I85" i="1"/>
  <c r="L85" i="1" s="1"/>
  <c r="I86" i="1"/>
  <c r="I87" i="1"/>
  <c r="I88" i="1"/>
  <c r="I89" i="1"/>
  <c r="L89" i="1" s="1"/>
  <c r="I90" i="1"/>
  <c r="I91" i="1"/>
  <c r="I92" i="1"/>
  <c r="L92" i="1" s="1"/>
  <c r="I93" i="1"/>
  <c r="L93" i="1" s="1"/>
  <c r="I94" i="1"/>
  <c r="L94" i="1" s="1"/>
  <c r="I95" i="1"/>
  <c r="L95" i="1" s="1"/>
  <c r="I96" i="1"/>
  <c r="I97" i="1"/>
  <c r="L97" i="1" s="1"/>
  <c r="I98" i="1"/>
  <c r="I99" i="1"/>
  <c r="I100" i="1"/>
  <c r="L100" i="1" s="1"/>
  <c r="I101" i="1"/>
  <c r="L101" i="1" s="1"/>
  <c r="I102" i="1"/>
  <c r="L102" i="1" s="1"/>
  <c r="I103" i="1"/>
  <c r="L103" i="1" s="1"/>
  <c r="I104" i="1"/>
  <c r="I105" i="1"/>
  <c r="L105" i="1" s="1"/>
  <c r="I106" i="1"/>
  <c r="I107" i="1"/>
  <c r="I108" i="1"/>
  <c r="I109" i="1"/>
  <c r="I110" i="1"/>
  <c r="L110" i="1" s="1"/>
  <c r="I111" i="1"/>
  <c r="L111" i="1" s="1"/>
  <c r="I112" i="1"/>
  <c r="I113" i="1"/>
  <c r="L113" i="1" s="1"/>
  <c r="I114" i="1"/>
  <c r="I115" i="1"/>
  <c r="I116" i="1"/>
  <c r="L116" i="1" s="1"/>
  <c r="I117" i="1"/>
  <c r="L117" i="1" s="1"/>
  <c r="I118" i="1"/>
  <c r="I119" i="1"/>
  <c r="L119" i="1" s="1"/>
  <c r="I120" i="1"/>
  <c r="I121" i="1"/>
  <c r="L121" i="1" s="1"/>
  <c r="I122" i="1"/>
  <c r="I123" i="1"/>
  <c r="I124" i="1"/>
  <c r="L124" i="1" s="1"/>
  <c r="I125" i="1"/>
  <c r="L125" i="1" s="1"/>
  <c r="I126" i="1"/>
  <c r="L126" i="1" s="1"/>
  <c r="I127" i="1"/>
  <c r="L127" i="1" s="1"/>
  <c r="I128" i="1"/>
  <c r="I129" i="1"/>
  <c r="L129" i="1" s="1"/>
  <c r="I130" i="1"/>
  <c r="I131" i="1"/>
  <c r="I132" i="1"/>
  <c r="I133" i="1"/>
  <c r="L133" i="1" s="1"/>
  <c r="I134" i="1"/>
  <c r="L134" i="1" s="1"/>
  <c r="I135" i="1"/>
  <c r="L135" i="1" s="1"/>
  <c r="I136" i="1"/>
  <c r="I137" i="1"/>
  <c r="L137" i="1" s="1"/>
  <c r="I138" i="1"/>
  <c r="I139" i="1"/>
  <c r="I140" i="1"/>
  <c r="L140" i="1" s="1"/>
  <c r="I141" i="1"/>
  <c r="L141" i="1" s="1"/>
  <c r="I142" i="1"/>
  <c r="L142" i="1" s="1"/>
  <c r="I143" i="1"/>
  <c r="L143" i="1" s="1"/>
  <c r="I144" i="1"/>
  <c r="I145" i="1"/>
  <c r="L145" i="1" s="1"/>
  <c r="I146" i="1"/>
  <c r="I147" i="1"/>
  <c r="I148" i="1"/>
  <c r="L148" i="1" s="1"/>
  <c r="I149" i="1"/>
  <c r="L149" i="1" s="1"/>
  <c r="I150" i="1"/>
  <c r="L150" i="1" s="1"/>
  <c r="I151" i="1"/>
  <c r="L151" i="1" s="1"/>
  <c r="I152" i="1"/>
  <c r="I153" i="1"/>
  <c r="L153" i="1" s="1"/>
  <c r="I154" i="1"/>
  <c r="I155" i="1"/>
  <c r="I156" i="1"/>
  <c r="L156" i="1" s="1"/>
  <c r="I157" i="1"/>
  <c r="L157" i="1" s="1"/>
  <c r="I158" i="1"/>
  <c r="L158" i="1" s="1"/>
  <c r="I159" i="1"/>
  <c r="L159" i="1" s="1"/>
  <c r="I160" i="1"/>
  <c r="I161" i="1"/>
  <c r="L161" i="1" s="1"/>
  <c r="I162" i="1"/>
  <c r="I163" i="1"/>
  <c r="I164" i="1"/>
  <c r="L164" i="1" s="1"/>
  <c r="I165" i="1"/>
  <c r="L165" i="1" s="1"/>
  <c r="I166" i="1"/>
  <c r="L166" i="1" s="1"/>
  <c r="I167" i="1"/>
  <c r="L167" i="1" s="1"/>
  <c r="I168" i="1"/>
  <c r="I169" i="1"/>
  <c r="L169" i="1" s="1"/>
  <c r="I170" i="1"/>
  <c r="I171" i="1"/>
  <c r="I172" i="1"/>
  <c r="I173" i="1"/>
  <c r="L173" i="1" s="1"/>
  <c r="I174" i="1"/>
  <c r="I175" i="1"/>
  <c r="L175" i="1" s="1"/>
  <c r="I176" i="1"/>
  <c r="I177" i="1"/>
  <c r="L177" i="1" s="1"/>
  <c r="I178" i="1"/>
  <c r="I179" i="1"/>
  <c r="I180" i="1"/>
  <c r="L180" i="1" s="1"/>
  <c r="I181" i="1"/>
  <c r="L181" i="1" s="1"/>
  <c r="I182" i="1"/>
  <c r="L182" i="1" s="1"/>
  <c r="I183" i="1"/>
  <c r="L183" i="1" s="1"/>
  <c r="I184" i="1"/>
  <c r="I185" i="1"/>
  <c r="L185" i="1" s="1"/>
  <c r="I186" i="1"/>
  <c r="I187" i="1"/>
  <c r="I188" i="1"/>
  <c r="L188" i="1" s="1"/>
  <c r="I189" i="1"/>
  <c r="L189" i="1" s="1"/>
  <c r="I190" i="1"/>
  <c r="L190" i="1" s="1"/>
  <c r="I191" i="1"/>
  <c r="L191" i="1" s="1"/>
  <c r="I192" i="1"/>
  <c r="I193" i="1"/>
  <c r="L193" i="1" s="1"/>
  <c r="I194" i="1"/>
  <c r="I195" i="1"/>
  <c r="I196" i="1"/>
  <c r="I197" i="1"/>
  <c r="L197" i="1" s="1"/>
  <c r="I198" i="1"/>
  <c r="L198" i="1" s="1"/>
  <c r="I199" i="1"/>
  <c r="L199" i="1" s="1"/>
  <c r="I200" i="1"/>
  <c r="I201" i="1"/>
  <c r="L201" i="1" s="1"/>
  <c r="I202" i="1"/>
  <c r="I203" i="1"/>
  <c r="I204" i="1"/>
  <c r="L204" i="1" s="1"/>
  <c r="I205" i="1"/>
  <c r="L205" i="1" s="1"/>
  <c r="I206" i="1"/>
  <c r="I207" i="1"/>
  <c r="L207" i="1" s="1"/>
  <c r="I208" i="1"/>
  <c r="I209" i="1"/>
  <c r="L209" i="1" s="1"/>
  <c r="I210" i="1"/>
  <c r="I211" i="1"/>
  <c r="I212" i="1"/>
  <c r="L212" i="1" s="1"/>
  <c r="I213" i="1"/>
  <c r="L213" i="1" s="1"/>
  <c r="I214" i="1"/>
  <c r="L214" i="1" s="1"/>
  <c r="I215" i="1"/>
  <c r="L215" i="1" s="1"/>
  <c r="I216" i="1"/>
  <c r="I217" i="1"/>
  <c r="L217" i="1" s="1"/>
  <c r="I218" i="1"/>
  <c r="I219" i="1"/>
  <c r="I220" i="1"/>
  <c r="I221" i="1"/>
  <c r="L221" i="1" s="1"/>
  <c r="I222" i="1"/>
  <c r="I223" i="1"/>
  <c r="L223" i="1" s="1"/>
  <c r="I224" i="1"/>
  <c r="I225" i="1"/>
  <c r="L225" i="1" s="1"/>
  <c r="I226" i="1"/>
  <c r="I227" i="1"/>
  <c r="I228" i="1"/>
  <c r="L228" i="1" s="1"/>
  <c r="I229" i="1"/>
  <c r="L229" i="1" s="1"/>
  <c r="I230" i="1"/>
  <c r="L230" i="1" s="1"/>
  <c r="I231" i="1"/>
  <c r="L231" i="1" s="1"/>
  <c r="I232" i="1"/>
  <c r="I233" i="1"/>
  <c r="L233" i="1" s="1"/>
  <c r="I234" i="1"/>
  <c r="I235" i="1"/>
  <c r="I236" i="1"/>
  <c r="L236" i="1" s="1"/>
  <c r="I237" i="1"/>
  <c r="L237" i="1" s="1"/>
  <c r="I238" i="1"/>
  <c r="L238" i="1" s="1"/>
  <c r="I239" i="1"/>
  <c r="L239" i="1" s="1"/>
  <c r="I240" i="1"/>
  <c r="I241" i="1"/>
  <c r="L241" i="1" s="1"/>
  <c r="I242" i="1"/>
  <c r="I243" i="1"/>
  <c r="I244" i="1"/>
  <c r="I245" i="1"/>
  <c r="L245" i="1" s="1"/>
  <c r="I246" i="1"/>
  <c r="L246" i="1" s="1"/>
  <c r="I247" i="1"/>
  <c r="L247" i="1" s="1"/>
  <c r="I248" i="1"/>
  <c r="I249" i="1"/>
  <c r="L249" i="1" s="1"/>
  <c r="I250" i="1"/>
  <c r="I251" i="1"/>
  <c r="I252" i="1"/>
  <c r="L252" i="1" s="1"/>
  <c r="I253" i="1"/>
  <c r="L253" i="1" s="1"/>
  <c r="I254" i="1"/>
  <c r="I255" i="1"/>
  <c r="L255" i="1" s="1"/>
  <c r="I256" i="1"/>
  <c r="I257" i="1"/>
  <c r="L257" i="1" s="1"/>
  <c r="I258" i="1"/>
  <c r="I259" i="1"/>
  <c r="I260" i="1"/>
  <c r="L260" i="1" s="1"/>
  <c r="I261" i="1"/>
  <c r="L261" i="1" s="1"/>
  <c r="I262" i="1"/>
  <c r="L262" i="1" s="1"/>
  <c r="I263" i="1"/>
  <c r="L263" i="1" s="1"/>
  <c r="I264" i="1"/>
  <c r="I265" i="1"/>
  <c r="L265" i="1" s="1"/>
  <c r="I266" i="1"/>
  <c r="I267" i="1"/>
  <c r="I268" i="1"/>
  <c r="I269" i="1"/>
  <c r="L269" i="1" s="1"/>
  <c r="I270" i="1"/>
  <c r="L270" i="1" s="1"/>
  <c r="I271" i="1"/>
  <c r="L271" i="1" s="1"/>
  <c r="I272" i="1"/>
  <c r="I273" i="1"/>
  <c r="L273" i="1" s="1"/>
  <c r="I274" i="1"/>
  <c r="I275" i="1"/>
  <c r="I276" i="1"/>
  <c r="L276" i="1" s="1"/>
  <c r="I277" i="1"/>
  <c r="L277" i="1" s="1"/>
  <c r="I278" i="1"/>
  <c r="I279" i="1"/>
  <c r="L279" i="1" s="1"/>
  <c r="I280" i="1"/>
  <c r="I281" i="1"/>
  <c r="L281" i="1" s="1"/>
  <c r="I282" i="1"/>
  <c r="I283" i="1"/>
  <c r="I284" i="1"/>
  <c r="L284" i="1" s="1"/>
  <c r="I285" i="1"/>
  <c r="L285" i="1" s="1"/>
  <c r="I286" i="1"/>
  <c r="L286" i="1" s="1"/>
  <c r="I287" i="1"/>
  <c r="L287" i="1" s="1"/>
  <c r="I288" i="1"/>
  <c r="I289" i="1"/>
  <c r="L289" i="1" s="1"/>
  <c r="I290" i="1"/>
  <c r="I291" i="1"/>
  <c r="I292" i="1"/>
  <c r="I293" i="1"/>
  <c r="L293" i="1" s="1"/>
  <c r="I294" i="1"/>
  <c r="L294" i="1" s="1"/>
  <c r="I295" i="1"/>
  <c r="L295" i="1" s="1"/>
  <c r="I296" i="1"/>
  <c r="I297" i="1"/>
  <c r="L297" i="1" s="1"/>
  <c r="I298" i="1"/>
  <c r="I299" i="1"/>
  <c r="I300" i="1"/>
  <c r="L300" i="1" s="1"/>
  <c r="I301" i="1"/>
  <c r="L301" i="1" s="1"/>
  <c r="I302" i="1"/>
  <c r="L302" i="1" s="1"/>
  <c r="I303" i="1"/>
  <c r="L303" i="1" s="1"/>
  <c r="I304" i="1"/>
  <c r="I305" i="1"/>
  <c r="L305" i="1" s="1"/>
  <c r="I306" i="1"/>
  <c r="I307" i="1"/>
  <c r="I308" i="1"/>
  <c r="L308" i="1" s="1"/>
  <c r="I309" i="1"/>
  <c r="L309" i="1" s="1"/>
  <c r="I310" i="1"/>
  <c r="I311" i="1"/>
  <c r="L311" i="1" s="1"/>
  <c r="I312" i="1"/>
  <c r="I313" i="1"/>
  <c r="L313" i="1" s="1"/>
  <c r="I314" i="1"/>
  <c r="I315" i="1"/>
  <c r="I316" i="1"/>
  <c r="I317" i="1"/>
  <c r="L317" i="1" s="1"/>
  <c r="I318" i="1"/>
  <c r="L318" i="1" s="1"/>
  <c r="I319" i="1"/>
  <c r="L319" i="1" s="1"/>
  <c r="I320" i="1"/>
  <c r="I321" i="1"/>
  <c r="L321" i="1" s="1"/>
  <c r="I322" i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I329" i="1"/>
  <c r="L329" i="1" s="1"/>
  <c r="I330" i="1"/>
  <c r="I331" i="1"/>
  <c r="L331" i="1" s="1"/>
  <c r="I332" i="1"/>
  <c r="I333" i="1"/>
  <c r="L333" i="1" s="1"/>
  <c r="I334" i="1"/>
  <c r="L334" i="1" s="1"/>
  <c r="I335" i="1"/>
  <c r="L335" i="1" s="1"/>
  <c r="I336" i="1"/>
  <c r="I337" i="1"/>
  <c r="L337" i="1" s="1"/>
  <c r="I338" i="1"/>
  <c r="I339" i="1"/>
  <c r="I340" i="1"/>
  <c r="L340" i="1" s="1"/>
  <c r="I341" i="1"/>
  <c r="L341" i="1" s="1"/>
  <c r="I342" i="1"/>
  <c r="L342" i="1" s="1"/>
  <c r="I343" i="1"/>
  <c r="L343" i="1" s="1"/>
  <c r="I344" i="1"/>
  <c r="I345" i="1"/>
  <c r="L345" i="1" s="1"/>
  <c r="I346" i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I353" i="1"/>
  <c r="L353" i="1" s="1"/>
  <c r="I354" i="1"/>
  <c r="I355" i="1"/>
  <c r="L355" i="1" s="1"/>
  <c r="I356" i="1"/>
  <c r="L356" i="1" s="1"/>
  <c r="I357" i="1"/>
  <c r="L357" i="1" s="1"/>
  <c r="I358" i="1"/>
  <c r="I359" i="1"/>
  <c r="L359" i="1" s="1"/>
  <c r="I360" i="1"/>
  <c r="I362" i="1"/>
  <c r="L362" i="1" s="1"/>
  <c r="I363" i="1"/>
  <c r="I364" i="1"/>
  <c r="L364" i="1" s="1"/>
  <c r="I365" i="1"/>
  <c r="L365" i="1" s="1"/>
  <c r="I366" i="1"/>
  <c r="L366" i="1" s="1"/>
  <c r="I367" i="1"/>
  <c r="L367" i="1" s="1"/>
  <c r="I368" i="1"/>
  <c r="L368" i="1" s="1"/>
  <c r="I369" i="1"/>
  <c r="I370" i="1"/>
  <c r="L370" i="1" s="1"/>
  <c r="I371" i="1"/>
  <c r="I372" i="1"/>
  <c r="I373" i="1"/>
  <c r="I374" i="1"/>
  <c r="L374" i="1" s="1"/>
  <c r="L8" i="1"/>
  <c r="L10" i="1"/>
  <c r="L11" i="1"/>
  <c r="L14" i="1"/>
  <c r="L16" i="1"/>
  <c r="L18" i="1"/>
  <c r="L19" i="1"/>
  <c r="L24" i="1"/>
  <c r="L26" i="1"/>
  <c r="L27" i="1"/>
  <c r="L32" i="1"/>
  <c r="L34" i="1"/>
  <c r="L35" i="1"/>
  <c r="L38" i="1"/>
  <c r="L40" i="1"/>
  <c r="L42" i="1"/>
  <c r="L43" i="1"/>
  <c r="L48" i="1"/>
  <c r="L50" i="1"/>
  <c r="L51" i="1"/>
  <c r="L56" i="1"/>
  <c r="L58" i="1"/>
  <c r="L59" i="1"/>
  <c r="L64" i="1"/>
  <c r="L66" i="1"/>
  <c r="L67" i="1"/>
  <c r="L70" i="1"/>
  <c r="L72" i="1"/>
  <c r="L74" i="1"/>
  <c r="L75" i="1"/>
  <c r="L80" i="1"/>
  <c r="L81" i="1"/>
  <c r="L82" i="1"/>
  <c r="L83" i="1"/>
  <c r="L84" i="1"/>
  <c r="L86" i="1"/>
  <c r="L88" i="1"/>
  <c r="L90" i="1"/>
  <c r="L91" i="1"/>
  <c r="L96" i="1"/>
  <c r="L98" i="1"/>
  <c r="L99" i="1"/>
  <c r="L104" i="1"/>
  <c r="L106" i="1"/>
  <c r="L107" i="1"/>
  <c r="L108" i="1"/>
  <c r="L109" i="1"/>
  <c r="L112" i="1"/>
  <c r="L114" i="1"/>
  <c r="L115" i="1"/>
  <c r="L118" i="1"/>
  <c r="L120" i="1"/>
  <c r="L122" i="1"/>
  <c r="L123" i="1"/>
  <c r="L128" i="1"/>
  <c r="L130" i="1"/>
  <c r="L131" i="1"/>
  <c r="L132" i="1"/>
  <c r="L136" i="1"/>
  <c r="L138" i="1"/>
  <c r="L139" i="1"/>
  <c r="L144" i="1"/>
  <c r="L146" i="1"/>
  <c r="L147" i="1"/>
  <c r="L152" i="1"/>
  <c r="L154" i="1"/>
  <c r="L155" i="1"/>
  <c r="L160" i="1"/>
  <c r="L162" i="1"/>
  <c r="L163" i="1"/>
  <c r="L168" i="1"/>
  <c r="L170" i="1"/>
  <c r="L171" i="1"/>
  <c r="L172" i="1"/>
  <c r="L174" i="1"/>
  <c r="L176" i="1"/>
  <c r="L178" i="1"/>
  <c r="L179" i="1"/>
  <c r="L184" i="1"/>
  <c r="L186" i="1"/>
  <c r="L187" i="1"/>
  <c r="L192" i="1"/>
  <c r="L194" i="1"/>
  <c r="L195" i="1"/>
  <c r="L196" i="1"/>
  <c r="L200" i="1"/>
  <c r="L202" i="1"/>
  <c r="L203" i="1"/>
  <c r="L206" i="1"/>
  <c r="L208" i="1"/>
  <c r="L210" i="1"/>
  <c r="L211" i="1"/>
  <c r="L216" i="1"/>
  <c r="L218" i="1"/>
  <c r="L219" i="1"/>
  <c r="L220" i="1"/>
  <c r="L222" i="1"/>
  <c r="L224" i="1"/>
  <c r="L226" i="1"/>
  <c r="L227" i="1"/>
  <c r="L232" i="1"/>
  <c r="L234" i="1"/>
  <c r="L235" i="1"/>
  <c r="L240" i="1"/>
  <c r="L242" i="1"/>
  <c r="L243" i="1"/>
  <c r="L244" i="1"/>
  <c r="L248" i="1"/>
  <c r="L250" i="1"/>
  <c r="L251" i="1"/>
  <c r="L254" i="1"/>
  <c r="L256" i="1"/>
  <c r="L258" i="1"/>
  <c r="L259" i="1"/>
  <c r="L264" i="1"/>
  <c r="L266" i="1"/>
  <c r="L267" i="1"/>
  <c r="L268" i="1"/>
  <c r="L272" i="1"/>
  <c r="L274" i="1"/>
  <c r="L275" i="1"/>
  <c r="L278" i="1"/>
  <c r="L280" i="1"/>
  <c r="L282" i="1"/>
  <c r="L283" i="1"/>
  <c r="L288" i="1"/>
  <c r="L290" i="1"/>
  <c r="L291" i="1"/>
  <c r="L292" i="1"/>
  <c r="L296" i="1"/>
  <c r="L298" i="1"/>
  <c r="L299" i="1"/>
  <c r="L304" i="1"/>
  <c r="L306" i="1"/>
  <c r="L307" i="1"/>
  <c r="L310" i="1"/>
  <c r="L312" i="1"/>
  <c r="L314" i="1"/>
  <c r="L315" i="1"/>
  <c r="L316" i="1"/>
  <c r="L320" i="1"/>
  <c r="L322" i="1"/>
  <c r="L328" i="1"/>
  <c r="L330" i="1"/>
  <c r="L332" i="1"/>
  <c r="L336" i="1"/>
  <c r="L338" i="1"/>
  <c r="L339" i="1"/>
  <c r="L344" i="1"/>
  <c r="L346" i="1"/>
  <c r="L352" i="1"/>
  <c r="L354" i="1"/>
  <c r="L358" i="1"/>
  <c r="L360" i="1"/>
  <c r="L363" i="1"/>
  <c r="L369" i="1"/>
  <c r="L371" i="1"/>
  <c r="L372" i="1"/>
  <c r="L373" i="1"/>
  <c r="L3" i="1"/>
  <c r="L87" i="1" l="1"/>
  <c r="L39" i="1"/>
</calcChain>
</file>

<file path=xl/sharedStrings.xml><?xml version="1.0" encoding="utf-8"?>
<sst xmlns="http://schemas.openxmlformats.org/spreadsheetml/2006/main" count="1931" uniqueCount="456">
  <si>
    <t>編號</t>
  </si>
  <si>
    <t>業務員</t>
  </si>
  <si>
    <t>交易日期</t>
  </si>
  <si>
    <t>交易公司</t>
  </si>
  <si>
    <t>交易金額</t>
  </si>
  <si>
    <t>交易方式</t>
  </si>
  <si>
    <t>稅額</t>
  </si>
  <si>
    <t>運送方式</t>
  </si>
  <si>
    <t>福利金</t>
  </si>
  <si>
    <t>李小民</t>
  </si>
  <si>
    <t>喜悅傳播事業</t>
  </si>
  <si>
    <t>信用卡</t>
  </si>
  <si>
    <t>現金</t>
  </si>
  <si>
    <t>快遞</t>
  </si>
  <si>
    <t>劉文玉</t>
  </si>
  <si>
    <t>江美如</t>
  </si>
  <si>
    <t>陳正宏</t>
  </si>
  <si>
    <t>王莉婷</t>
  </si>
  <si>
    <t>花花花坊</t>
  </si>
  <si>
    <t>趙怡婷</t>
  </si>
  <si>
    <t>李意峰</t>
  </si>
  <si>
    <t>PN101062</t>
  </si>
  <si>
    <t>PN101098</t>
  </si>
  <si>
    <t>PN101105</t>
  </si>
  <si>
    <t>PN101107</t>
  </si>
  <si>
    <t>PN101160</t>
  </si>
  <si>
    <t>PN101187</t>
  </si>
  <si>
    <t>PN101211</t>
  </si>
  <si>
    <t>PN101316</t>
  </si>
  <si>
    <t>PN101404</t>
  </si>
  <si>
    <t>PN101416</t>
  </si>
  <si>
    <t>PN101422</t>
  </si>
  <si>
    <t>PN101455</t>
  </si>
  <si>
    <t>PN101536</t>
  </si>
  <si>
    <t>PN101553</t>
  </si>
  <si>
    <t>PN101631</t>
  </si>
  <si>
    <t>PN101638</t>
  </si>
  <si>
    <t>PN101711</t>
  </si>
  <si>
    <t>PN101722</t>
  </si>
  <si>
    <t>PN101741</t>
  </si>
  <si>
    <t>PN101763</t>
  </si>
  <si>
    <t>PN101775</t>
  </si>
  <si>
    <t>PN101810</t>
  </si>
  <si>
    <t>PN101813</t>
  </si>
  <si>
    <t>PN101825</t>
  </si>
  <si>
    <t>PN101859</t>
  </si>
  <si>
    <t>PN101930</t>
  </si>
  <si>
    <t>PN101941</t>
  </si>
  <si>
    <t>PN101961</t>
  </si>
  <si>
    <t>PN101973</t>
  </si>
  <si>
    <t>PN101987</t>
  </si>
  <si>
    <t>PN102005</t>
  </si>
  <si>
    <t>PN102033</t>
  </si>
  <si>
    <t>PN102115</t>
  </si>
  <si>
    <t>PN102207</t>
  </si>
  <si>
    <t>PN102243</t>
  </si>
  <si>
    <t>PN102279</t>
  </si>
  <si>
    <t>PN102295</t>
  </si>
  <si>
    <t>PN102314</t>
  </si>
  <si>
    <t>PN102350</t>
  </si>
  <si>
    <t>PN102417</t>
  </si>
  <si>
    <t>PN102465</t>
  </si>
  <si>
    <t>PN102476</t>
  </si>
  <si>
    <t>PN102487</t>
  </si>
  <si>
    <t>PN102637</t>
  </si>
  <si>
    <t>PN102640</t>
  </si>
  <si>
    <t>PN102669</t>
  </si>
  <si>
    <t>PN102675</t>
  </si>
  <si>
    <t>PN102700</t>
  </si>
  <si>
    <t>PN102704</t>
  </si>
  <si>
    <t>PN102726</t>
  </si>
  <si>
    <t>PN102814</t>
  </si>
  <si>
    <t>PN102830</t>
  </si>
  <si>
    <t>PN102851</t>
  </si>
  <si>
    <t>PN102861</t>
  </si>
  <si>
    <t>PN102912</t>
  </si>
  <si>
    <t>PN102979</t>
  </si>
  <si>
    <t>PN103014</t>
  </si>
  <si>
    <t>PN103027</t>
  </si>
  <si>
    <t>PN103063</t>
  </si>
  <si>
    <t>PN103166</t>
  </si>
  <si>
    <t>PN103207</t>
  </si>
  <si>
    <t>PN103234</t>
  </si>
  <si>
    <t>PN103241</t>
  </si>
  <si>
    <t>PN103257</t>
  </si>
  <si>
    <t>PN103344</t>
  </si>
  <si>
    <t>PN103345</t>
  </si>
  <si>
    <t>PN103399</t>
  </si>
  <si>
    <t>PN103402</t>
  </si>
  <si>
    <t>PN103561</t>
  </si>
  <si>
    <t>PN103625</t>
  </si>
  <si>
    <t>PN103631</t>
  </si>
  <si>
    <t>PN103657</t>
  </si>
  <si>
    <t>PN103688</t>
  </si>
  <si>
    <t>PN103697</t>
  </si>
  <si>
    <t>PN103698</t>
  </si>
  <si>
    <t>PN103732</t>
  </si>
  <si>
    <t>PN103738</t>
  </si>
  <si>
    <t>PN103747</t>
  </si>
  <si>
    <t>PN103811</t>
  </si>
  <si>
    <t>PN103814</t>
  </si>
  <si>
    <t>PN103843</t>
  </si>
  <si>
    <t>PN103868</t>
  </si>
  <si>
    <t>PN103926</t>
  </si>
  <si>
    <t>PN104031</t>
  </si>
  <si>
    <t>PN104036</t>
  </si>
  <si>
    <t>PN104040</t>
  </si>
  <si>
    <t>PN104068</t>
  </si>
  <si>
    <t>PN104083</t>
  </si>
  <si>
    <t>PN104091</t>
  </si>
  <si>
    <t>PN104096</t>
  </si>
  <si>
    <t>PN104152</t>
  </si>
  <si>
    <t>PN104185</t>
  </si>
  <si>
    <t>PN104194</t>
  </si>
  <si>
    <t>PN104207</t>
  </si>
  <si>
    <t>PN104228</t>
  </si>
  <si>
    <t>PN104274</t>
  </si>
  <si>
    <t>PN104283</t>
  </si>
  <si>
    <t>PN104334</t>
  </si>
  <si>
    <t>PN104372</t>
  </si>
  <si>
    <t>PN104484</t>
  </si>
  <si>
    <t>PN104534</t>
  </si>
  <si>
    <t>PN104549</t>
  </si>
  <si>
    <t>PN104694</t>
  </si>
  <si>
    <t>PN104725</t>
  </si>
  <si>
    <t>PN104758</t>
  </si>
  <si>
    <t>PN104767</t>
  </si>
  <si>
    <t>PN104856</t>
  </si>
  <si>
    <t>PN104935</t>
  </si>
  <si>
    <t>PN104976</t>
  </si>
  <si>
    <t>PN104988</t>
  </si>
  <si>
    <t>PN105049</t>
  </si>
  <si>
    <t>PN105113</t>
  </si>
  <si>
    <t>PN105149</t>
  </si>
  <si>
    <t>PN105183</t>
  </si>
  <si>
    <t>PN105241</t>
  </si>
  <si>
    <t>PN105294</t>
  </si>
  <si>
    <t>PN105304</t>
  </si>
  <si>
    <t>PN105340</t>
  </si>
  <si>
    <t>PN105351</t>
  </si>
  <si>
    <t>PN105367</t>
  </si>
  <si>
    <t>PN105369</t>
  </si>
  <si>
    <t>PN105480</t>
  </si>
  <si>
    <t>PN105520</t>
  </si>
  <si>
    <t>PN105522</t>
  </si>
  <si>
    <t>PN105524</t>
  </si>
  <si>
    <t>PN105595</t>
  </si>
  <si>
    <t>PN105611</t>
  </si>
  <si>
    <t>PN105620</t>
  </si>
  <si>
    <t>PN105643</t>
  </si>
  <si>
    <t>PN105689</t>
  </si>
  <si>
    <t>PN105754</t>
  </si>
  <si>
    <t>PN105867</t>
  </si>
  <si>
    <t>PN105868</t>
  </si>
  <si>
    <t>PN105898</t>
  </si>
  <si>
    <t>PN105939</t>
  </si>
  <si>
    <t>PN105948</t>
  </si>
  <si>
    <t>PN105951</t>
  </si>
  <si>
    <t>PN105980</t>
  </si>
  <si>
    <t>PN105985</t>
  </si>
  <si>
    <t>PN106005</t>
  </si>
  <si>
    <t>PN106012</t>
  </si>
  <si>
    <t>PN106086</t>
  </si>
  <si>
    <t>PN106120</t>
  </si>
  <si>
    <t>PN106186</t>
  </si>
  <si>
    <t>PN106212</t>
  </si>
  <si>
    <t>PN106258</t>
  </si>
  <si>
    <t>PN106307</t>
  </si>
  <si>
    <t>PN106451</t>
  </si>
  <si>
    <t>PN106486</t>
  </si>
  <si>
    <t>PN106497</t>
  </si>
  <si>
    <t>PN106576</t>
  </si>
  <si>
    <t>PN106581</t>
  </si>
  <si>
    <t>PN106591</t>
  </si>
  <si>
    <t>PN106642</t>
  </si>
  <si>
    <t>PN106706</t>
  </si>
  <si>
    <t>PN106711</t>
  </si>
  <si>
    <t>PN106749</t>
  </si>
  <si>
    <t>PN106757</t>
  </si>
  <si>
    <t>PN106818</t>
  </si>
  <si>
    <t>PN106860</t>
  </si>
  <si>
    <t>PN106871</t>
  </si>
  <si>
    <t>PN106882</t>
  </si>
  <si>
    <t>PN106899</t>
  </si>
  <si>
    <t>PN106934</t>
  </si>
  <si>
    <t>PN106954</t>
  </si>
  <si>
    <t>PN106961</t>
  </si>
  <si>
    <t>PN107029</t>
  </si>
  <si>
    <t>PN107079</t>
  </si>
  <si>
    <t>PN107111</t>
  </si>
  <si>
    <t>PN107152</t>
  </si>
  <si>
    <t>PN107190</t>
  </si>
  <si>
    <t>PN107194</t>
  </si>
  <si>
    <t>PN107228</t>
  </si>
  <si>
    <t>PN107259</t>
  </si>
  <si>
    <t>PN107278</t>
  </si>
  <si>
    <t>PN107292</t>
  </si>
  <si>
    <t>PN107317</t>
  </si>
  <si>
    <t>PN107327</t>
  </si>
  <si>
    <t>PN107407</t>
  </si>
  <si>
    <t>PN107409</t>
  </si>
  <si>
    <t>PN107439</t>
  </si>
  <si>
    <t>PN107482</t>
  </si>
  <si>
    <t>PN107507</t>
  </si>
  <si>
    <t>PN107517</t>
  </si>
  <si>
    <t>PN107541</t>
  </si>
  <si>
    <t>PN107545</t>
  </si>
  <si>
    <t>PN107593</t>
  </si>
  <si>
    <t>PN107692</t>
  </si>
  <si>
    <t>PN107707</t>
  </si>
  <si>
    <t>PN107813</t>
  </si>
  <si>
    <t>PN107816</t>
  </si>
  <si>
    <t>PN107847</t>
  </si>
  <si>
    <t>PN107849</t>
  </si>
  <si>
    <t>PN107853</t>
  </si>
  <si>
    <t>PN107875</t>
  </si>
  <si>
    <t>PN107900</t>
  </si>
  <si>
    <t>PN107902</t>
  </si>
  <si>
    <t>PN107962</t>
  </si>
  <si>
    <t>PN108063</t>
  </si>
  <si>
    <t>PN108146</t>
  </si>
  <si>
    <t>PN108153</t>
  </si>
  <si>
    <t>PN108219</t>
  </si>
  <si>
    <t>PN108220</t>
  </si>
  <si>
    <t>PN108228</t>
  </si>
  <si>
    <t>PN108238</t>
  </si>
  <si>
    <t>PN108264</t>
  </si>
  <si>
    <t>PN108275</t>
  </si>
  <si>
    <t>PN108281</t>
  </si>
  <si>
    <t>PN108284</t>
  </si>
  <si>
    <t>PN108312</t>
  </si>
  <si>
    <t>PN108359</t>
  </si>
  <si>
    <t>PN108376</t>
  </si>
  <si>
    <t>PN108408</t>
  </si>
  <si>
    <t>PN108512</t>
  </si>
  <si>
    <t>PN108520</t>
  </si>
  <si>
    <t>PN108539</t>
  </si>
  <si>
    <t>PN108573</t>
  </si>
  <si>
    <t>PN108666</t>
  </si>
  <si>
    <t>PN108719</t>
  </si>
  <si>
    <t>PN108720</t>
  </si>
  <si>
    <t>PN108738</t>
  </si>
  <si>
    <t>PN108753</t>
  </si>
  <si>
    <t>PN108756</t>
  </si>
  <si>
    <t>PN108771</t>
  </si>
  <si>
    <t>PN108892</t>
  </si>
  <si>
    <t>PN108893</t>
  </si>
  <si>
    <t>PN108910</t>
  </si>
  <si>
    <t>PN108926</t>
  </si>
  <si>
    <t>PN108932</t>
  </si>
  <si>
    <t>PN108944</t>
  </si>
  <si>
    <t>PN109014</t>
  </si>
  <si>
    <t>PN109027</t>
  </si>
  <si>
    <t>PN109040</t>
  </si>
  <si>
    <t>PN109054</t>
  </si>
  <si>
    <t>PN109075</t>
  </si>
  <si>
    <t>PN109116</t>
  </si>
  <si>
    <t>PN109195</t>
  </si>
  <si>
    <t>PN109252</t>
  </si>
  <si>
    <t>PN109254</t>
  </si>
  <si>
    <t>PN109257</t>
  </si>
  <si>
    <t>PN109277</t>
  </si>
  <si>
    <t>PN109315</t>
  </si>
  <si>
    <t>PN109383</t>
  </si>
  <si>
    <t>PN109408</t>
  </si>
  <si>
    <t>PN109482</t>
  </si>
  <si>
    <t>PN109517</t>
  </si>
  <si>
    <t>PN109546</t>
  </si>
  <si>
    <t>PN109730</t>
  </si>
  <si>
    <t>PN109732</t>
  </si>
  <si>
    <t>PN109741</t>
  </si>
  <si>
    <t>PN109753</t>
  </si>
  <si>
    <t>PN109754</t>
  </si>
  <si>
    <t>PN109756</t>
  </si>
  <si>
    <t>PN109775</t>
  </si>
  <si>
    <t>PN109805</t>
  </si>
  <si>
    <t>PN109840</t>
  </si>
  <si>
    <t>PN109855</t>
  </si>
  <si>
    <t>PN109947</t>
  </si>
  <si>
    <t>PN109979</t>
  </si>
  <si>
    <t>PN109996</t>
  </si>
  <si>
    <t>PN110038</t>
  </si>
  <si>
    <t>PN110062</t>
  </si>
  <si>
    <t>PN110131</t>
  </si>
  <si>
    <t>PN110138</t>
  </si>
  <si>
    <t>PN110141</t>
  </si>
  <si>
    <t>PN110151</t>
  </si>
  <si>
    <t>PN110237</t>
  </si>
  <si>
    <t>PN110270</t>
  </si>
  <si>
    <t>PN110336</t>
  </si>
  <si>
    <t>PN110353</t>
  </si>
  <si>
    <t>PN110397</t>
  </si>
  <si>
    <t>PN110450</t>
  </si>
  <si>
    <t>PN110561</t>
  </si>
  <si>
    <t>PN110589</t>
  </si>
  <si>
    <t>PN110619</t>
  </si>
  <si>
    <t>PN110645</t>
  </si>
  <si>
    <t>PN110671</t>
  </si>
  <si>
    <t>PN110741</t>
  </si>
  <si>
    <t>PN110763</t>
  </si>
  <si>
    <t>PN110782</t>
  </si>
  <si>
    <t>PN110786</t>
  </si>
  <si>
    <t>PN110793</t>
  </si>
  <si>
    <t>PN110816</t>
  </si>
  <si>
    <t>PN110858</t>
  </si>
  <si>
    <t>PN110870</t>
  </si>
  <si>
    <t>PN110894</t>
  </si>
  <si>
    <t>PN110975</t>
  </si>
  <si>
    <t>PN111022</t>
  </si>
  <si>
    <t>PN111088</t>
  </si>
  <si>
    <t>PN111132</t>
  </si>
  <si>
    <t>PN111157</t>
  </si>
  <si>
    <t>PN111185</t>
  </si>
  <si>
    <t>PN111239</t>
  </si>
  <si>
    <t>PN111259</t>
  </si>
  <si>
    <t>PN111294</t>
  </si>
  <si>
    <t>PN111333</t>
  </si>
  <si>
    <t>PN111417</t>
  </si>
  <si>
    <t>PN111461</t>
  </si>
  <si>
    <t>PN111490</t>
  </si>
  <si>
    <t>PN111511</t>
  </si>
  <si>
    <t>PN111538</t>
  </si>
  <si>
    <t>PN111580</t>
  </si>
  <si>
    <t>PN111600</t>
  </si>
  <si>
    <t>PN111633</t>
  </si>
  <si>
    <t>PN111645</t>
  </si>
  <si>
    <t>PN111701</t>
  </si>
  <si>
    <t>PN111713</t>
  </si>
  <si>
    <t>PN111715</t>
  </si>
  <si>
    <t>PN111719</t>
  </si>
  <si>
    <t>PN111722</t>
  </si>
  <si>
    <t>PN111734</t>
  </si>
  <si>
    <t>PN111750</t>
  </si>
  <si>
    <t>PN111824</t>
  </si>
  <si>
    <t>PN111838</t>
  </si>
  <si>
    <t>PN111856</t>
  </si>
  <si>
    <t>PN111859</t>
  </si>
  <si>
    <t>PN111865</t>
  </si>
  <si>
    <t>PN111924</t>
  </si>
  <si>
    <t>PN111949</t>
  </si>
  <si>
    <t>PN111955</t>
  </si>
  <si>
    <t>PN111959</t>
  </si>
  <si>
    <t>PN111961</t>
  </si>
  <si>
    <t>PN112134</t>
  </si>
  <si>
    <t>PN112180</t>
  </si>
  <si>
    <t>PN112203</t>
  </si>
  <si>
    <t>PN112224</t>
  </si>
  <si>
    <t>PN112276</t>
  </si>
  <si>
    <t>PN112297</t>
  </si>
  <si>
    <t>PN112379</t>
  </si>
  <si>
    <t>PN112381</t>
  </si>
  <si>
    <t>PN112452</t>
  </si>
  <si>
    <t>PN112486</t>
  </si>
  <si>
    <t>PN112515</t>
  </si>
  <si>
    <t>PN112518</t>
  </si>
  <si>
    <t>PN112529</t>
  </si>
  <si>
    <t>PN112543</t>
  </si>
  <si>
    <t>PN112551</t>
  </si>
  <si>
    <t>PN112588</t>
  </si>
  <si>
    <t>PN112604</t>
  </si>
  <si>
    <t>PN112694</t>
  </si>
  <si>
    <t>PN112746</t>
  </si>
  <si>
    <t>PN112759</t>
  </si>
  <si>
    <t>PN112775</t>
  </si>
  <si>
    <t>PN112780</t>
  </si>
  <si>
    <t>PN112835</t>
  </si>
  <si>
    <t>PN112877</t>
  </si>
  <si>
    <t>PN112886</t>
  </si>
  <si>
    <t>PN112913</t>
  </si>
  <si>
    <t>PN112953</t>
  </si>
  <si>
    <t>PN112955</t>
  </si>
  <si>
    <t>PN112998</t>
  </si>
  <si>
    <t>PN113113</t>
  </si>
  <si>
    <t>PN113114</t>
  </si>
  <si>
    <t>PN113115</t>
  </si>
  <si>
    <t>PN113163</t>
  </si>
  <si>
    <t>PN113179</t>
  </si>
  <si>
    <t>PN113197</t>
  </si>
  <si>
    <t>PN113201</t>
  </si>
  <si>
    <t>PN113229</t>
  </si>
  <si>
    <t>PN113286</t>
  </si>
  <si>
    <t>PN113294</t>
  </si>
  <si>
    <t>PN113321</t>
  </si>
  <si>
    <t>PN113377</t>
  </si>
  <si>
    <t>PN113413</t>
  </si>
  <si>
    <t>PN113471</t>
  </si>
  <si>
    <t>PN113492</t>
  </si>
  <si>
    <t>PN113511</t>
  </si>
  <si>
    <t>PN113529</t>
  </si>
  <si>
    <t>PN113595</t>
  </si>
  <si>
    <t>PN113633</t>
  </si>
  <si>
    <t>PN113680</t>
  </si>
  <si>
    <t>PN113681</t>
  </si>
  <si>
    <t>等級</t>
  </si>
  <si>
    <t>獎金比例</t>
  </si>
  <si>
    <t>愛心捐款</t>
  </si>
  <si>
    <t>匯款</t>
  </si>
  <si>
    <t>ATM轉帳</t>
  </si>
  <si>
    <t>郵政劃撥</t>
  </si>
  <si>
    <t>行動支付</t>
  </si>
  <si>
    <t>陳曉星</t>
    <phoneticPr fontId="5" type="noConversion"/>
  </si>
  <si>
    <t>李文裕</t>
    <phoneticPr fontId="5" type="noConversion"/>
  </si>
  <si>
    <t>沈志民</t>
    <phoneticPr fontId="5" type="noConversion"/>
  </si>
  <si>
    <t>林盛典</t>
    <phoneticPr fontId="5" type="noConversion"/>
  </si>
  <si>
    <t>姓名</t>
    <phoneticPr fontId="5" type="noConversion"/>
  </si>
  <si>
    <t>考績</t>
    <phoneticPr fontId="5" type="noConversion"/>
  </si>
  <si>
    <t>等第</t>
    <phoneticPr fontId="5" type="noConversion"/>
  </si>
  <si>
    <t>EP457</t>
    <phoneticPr fontId="5" type="noConversion"/>
  </si>
  <si>
    <t>EP459</t>
    <phoneticPr fontId="5" type="noConversion"/>
  </si>
  <si>
    <t>EP462</t>
    <phoneticPr fontId="5" type="noConversion"/>
  </si>
  <si>
    <t>EP472</t>
    <phoneticPr fontId="5" type="noConversion"/>
  </si>
  <si>
    <t>EP474</t>
    <phoneticPr fontId="5" type="noConversion"/>
  </si>
  <si>
    <t>EP486</t>
    <phoneticPr fontId="5" type="noConversion"/>
  </si>
  <si>
    <t>EP488</t>
    <phoneticPr fontId="5" type="noConversion"/>
  </si>
  <si>
    <t>EP492</t>
    <phoneticPr fontId="5" type="noConversion"/>
  </si>
  <si>
    <t>EP495</t>
    <phoneticPr fontId="5" type="noConversion"/>
  </si>
  <si>
    <t>吳義男</t>
    <phoneticPr fontId="5" type="noConversion"/>
  </si>
  <si>
    <t>陳文炳</t>
    <phoneticPr fontId="5" type="noConversion"/>
  </si>
  <si>
    <t>趙大海</t>
    <phoneticPr fontId="5" type="noConversion"/>
  </si>
  <si>
    <t>錢玉鳳</t>
    <phoneticPr fontId="5" type="noConversion"/>
  </si>
  <si>
    <t>孫霖乾</t>
    <phoneticPr fontId="5" type="noConversion"/>
  </si>
  <si>
    <t>陳志彬</t>
    <phoneticPr fontId="5" type="noConversion"/>
  </si>
  <si>
    <t>優</t>
    <phoneticPr fontId="5" type="noConversion"/>
  </si>
  <si>
    <t>甲</t>
    <phoneticPr fontId="5" type="noConversion"/>
  </si>
  <si>
    <t>乙</t>
    <phoneticPr fontId="5" type="noConversion"/>
  </si>
  <si>
    <t>丙</t>
    <phoneticPr fontId="5" type="noConversion"/>
  </si>
  <si>
    <t>丁</t>
    <phoneticPr fontId="5" type="noConversion"/>
  </si>
  <si>
    <t>分數</t>
    <phoneticPr fontId="5" type="noConversion"/>
  </si>
  <si>
    <t>等第表</t>
    <phoneticPr fontId="5" type="noConversion"/>
  </si>
  <si>
    <t>現金快遞</t>
  </si>
  <si>
    <t>匯款快遞</t>
  </si>
  <si>
    <t>稅後總金額</t>
    <phoneticPr fontId="5" type="noConversion"/>
  </si>
  <si>
    <t>獎金</t>
    <phoneticPr fontId="5" type="noConversion"/>
  </si>
  <si>
    <t>總稅額</t>
    <phoneticPr fontId="5" type="noConversion"/>
  </si>
  <si>
    <t>自取</t>
  </si>
  <si>
    <t>掛號</t>
  </si>
  <si>
    <t>現金掛號</t>
  </si>
  <si>
    <t>匯款掛號</t>
  </si>
  <si>
    <t>現金包裹</t>
  </si>
  <si>
    <t>包裹</t>
  </si>
  <si>
    <t>匯款包裹</t>
  </si>
  <si>
    <t>現金自取</t>
    <phoneticPr fontId="5" type="noConversion"/>
  </si>
  <si>
    <t>匯款自取</t>
    <phoneticPr fontId="5" type="noConversion"/>
  </si>
  <si>
    <t>總計</t>
  </si>
  <si>
    <t>平均稅後總金額</t>
    <phoneticPr fontId="5" type="noConversion"/>
  </si>
  <si>
    <t>運費</t>
    <phoneticPr fontId="5" type="noConversion"/>
  </si>
  <si>
    <t>交易筆數</t>
  </si>
  <si>
    <t>總獎金</t>
  </si>
  <si>
    <t>業務員績效</t>
    <phoneticPr fontId="5" type="noConversion"/>
  </si>
  <si>
    <t>交易筆數</t>
    <phoneticPr fontId="5" type="noConversion"/>
  </si>
  <si>
    <t>發財貿易</t>
  </si>
  <si>
    <t>百合百貨</t>
  </si>
  <si>
    <t>快捷食品</t>
  </si>
  <si>
    <t>天行資訊</t>
  </si>
  <si>
    <t>現金和匯款摘要</t>
    <phoneticPr fontId="5" type="noConversion"/>
  </si>
  <si>
    <t>工號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</si>
</sst>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_);_(* \(#,##0\);_(* &quot;-&quot;_);_(@_)"/>
    <numFmt numFmtId="177" formatCode="_(* #,##0.00_);_(* \(#,##0.00\);_(* &quot;-&quot;??_);_(@_)"/>
    <numFmt numFmtId="178" formatCode="_(* #,##0.00_);_(* \(#,##0.00\);_(* &quot;-&quot;_);_(@_)"/>
    <numFmt numFmtId="179" formatCode="0.0%"/>
    <numFmt numFmtId="180" formatCode="&quot;$&quot;#,##0_);[Red]\(&quot;$&quot;#,##0\)"/>
    <numFmt numFmtId="181" formatCode="&quot;$&quot;#,##0"/>
  </numFmts>
  <fonts count="13">
    <font>
      <sz val="12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Times New Roman"/>
      <family val="1"/>
    </font>
    <font>
      <b/>
      <sz val="10"/>
      <name val="MS Sans Serif"/>
      <family val="2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sz val="12"/>
      <color indexed="32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6" fillId="2" borderId="1" xfId="1" applyFont="1" applyFill="1" applyBorder="1" applyAlignment="1">
      <alignment horizontal="right"/>
    </xf>
    <xf numFmtId="0" fontId="7" fillId="3" borderId="1" xfId="1" applyFont="1" applyFill="1" applyBorder="1"/>
    <xf numFmtId="179" fontId="7" fillId="3" borderId="1" xfId="5" applyNumberFormat="1" applyFont="1" applyFill="1" applyBorder="1"/>
    <xf numFmtId="176" fontId="7" fillId="3" borderId="1" xfId="4" applyFont="1" applyFill="1" applyBorder="1"/>
    <xf numFmtId="0" fontId="8" fillId="4" borderId="1" xfId="1" applyFont="1" applyFill="1" applyBorder="1" applyAlignment="1" applyProtection="1">
      <alignment horizontal="left"/>
    </xf>
    <xf numFmtId="0" fontId="8" fillId="4" borderId="1" xfId="1" applyFont="1" applyFill="1" applyBorder="1" applyAlignment="1" applyProtection="1"/>
    <xf numFmtId="14" fontId="8" fillId="4" borderId="1" xfId="1" applyNumberFormat="1" applyFont="1" applyFill="1" applyBorder="1" applyAlignment="1" applyProtection="1">
      <alignment horizontal="center"/>
    </xf>
    <xf numFmtId="176" fontId="8" fillId="4" borderId="1" xfId="4" applyFont="1" applyFill="1" applyBorder="1" applyAlignment="1" applyProtection="1">
      <alignment horizontal="right"/>
    </xf>
    <xf numFmtId="176" fontId="8" fillId="4" borderId="1" xfId="4" applyFont="1" applyFill="1" applyBorder="1" applyAlignment="1" applyProtection="1">
      <alignment horizontal="center"/>
    </xf>
    <xf numFmtId="178" fontId="8" fillId="4" borderId="1" xfId="4" applyNumberFormat="1" applyFont="1" applyFill="1" applyBorder="1" applyAlignment="1" applyProtection="1">
      <alignment horizontal="right"/>
    </xf>
    <xf numFmtId="178" fontId="8" fillId="4" borderId="1" xfId="4" applyNumberFormat="1" applyFont="1" applyFill="1" applyBorder="1" applyAlignment="1" applyProtection="1">
      <alignment horizontal="center"/>
    </xf>
    <xf numFmtId="0" fontId="9" fillId="0" borderId="1" xfId="1" applyFont="1" applyFill="1" applyBorder="1" applyAlignment="1">
      <alignment horizontal="left"/>
    </xf>
    <xf numFmtId="0" fontId="9" fillId="0" borderId="1" xfId="1" applyFont="1" applyFill="1" applyBorder="1" applyAlignment="1" applyProtection="1"/>
    <xf numFmtId="14" fontId="9" fillId="0" borderId="1" xfId="3" applyNumberFormat="1" applyFont="1" applyFill="1" applyBorder="1" applyAlignment="1" applyProtection="1">
      <alignment horizontal="center"/>
    </xf>
    <xf numFmtId="0" fontId="9" fillId="0" borderId="1" xfId="1" applyFont="1" applyFill="1" applyBorder="1" applyAlignment="1" applyProtection="1">
      <alignment horizontal="left"/>
    </xf>
    <xf numFmtId="176" fontId="9" fillId="0" borderId="1" xfId="4" applyFont="1" applyFill="1" applyBorder="1" applyAlignment="1" applyProtection="1">
      <alignment horizontal="center"/>
    </xf>
    <xf numFmtId="0" fontId="9" fillId="0" borderId="1" xfId="4" applyNumberFormat="1" applyFont="1" applyFill="1" applyBorder="1" applyAlignment="1" applyProtection="1">
      <alignment horizontal="center"/>
    </xf>
    <xf numFmtId="0" fontId="9" fillId="0" borderId="1" xfId="1" quotePrefix="1" applyFont="1" applyFill="1" applyBorder="1" applyAlignment="1" applyProtection="1"/>
    <xf numFmtId="0" fontId="10" fillId="0" borderId="0" xfId="0" applyFont="1"/>
    <xf numFmtId="0" fontId="9" fillId="0" borderId="0" xfId="1" applyFont="1"/>
    <xf numFmtId="0" fontId="1" fillId="0" borderId="0" xfId="0" applyFont="1"/>
    <xf numFmtId="0" fontId="1" fillId="0" borderId="0" xfId="0" applyNumberFormat="1" applyFont="1"/>
    <xf numFmtId="0" fontId="9" fillId="0" borderId="0" xfId="1" applyNumberFormat="1" applyFont="1"/>
    <xf numFmtId="0" fontId="2" fillId="0" borderId="0" xfId="0" applyNumberFormat="1" applyFont="1"/>
    <xf numFmtId="180" fontId="9" fillId="0" borderId="1" xfId="4" applyNumberFormat="1" applyFont="1" applyFill="1" applyBorder="1" applyProtection="1"/>
    <xf numFmtId="180" fontId="9" fillId="0" borderId="1" xfId="4" applyNumberFormat="1" applyFont="1" applyFill="1" applyBorder="1" applyAlignment="1" applyProtection="1">
      <alignment horizontal="center"/>
    </xf>
    <xf numFmtId="180" fontId="9" fillId="0" borderId="1" xfId="4" applyNumberFormat="1" applyFont="1" applyFill="1" applyBorder="1" applyAlignment="1" applyProtection="1">
      <alignment horizontal="right"/>
    </xf>
    <xf numFmtId="0" fontId="2" fillId="0" borderId="0" xfId="0" pivotButton="1" applyFont="1"/>
    <xf numFmtId="181" fontId="2" fillId="0" borderId="0" xfId="0" applyNumberFormat="1" applyFont="1"/>
    <xf numFmtId="0" fontId="8" fillId="4" borderId="3" xfId="4" applyNumberFormat="1" applyFont="1" applyFill="1" applyBorder="1" applyAlignment="1" applyProtection="1">
      <alignment horizontal="left"/>
    </xf>
    <xf numFmtId="0" fontId="8" fillId="4" borderId="3" xfId="4" applyNumberFormat="1" applyFont="1" applyFill="1" applyBorder="1" applyAlignment="1" applyProtection="1">
      <alignment horizontal="center"/>
    </xf>
    <xf numFmtId="0" fontId="9" fillId="0" borderId="3" xfId="4" applyNumberFormat="1" applyFont="1" applyFill="1" applyBorder="1" applyAlignment="1" applyProtection="1">
      <alignment horizontal="left"/>
    </xf>
    <xf numFmtId="0" fontId="9" fillId="0" borderId="3" xfId="4" applyNumberFormat="1" applyFont="1" applyFill="1" applyBorder="1" applyAlignment="1" applyProtection="1">
      <alignment horizontal="center"/>
    </xf>
    <xf numFmtId="0" fontId="1" fillId="0" borderId="3" xfId="0" applyNumberFormat="1" applyFont="1" applyBorder="1"/>
    <xf numFmtId="180" fontId="9" fillId="0" borderId="3" xfId="4" applyNumberFormat="1" applyFont="1" applyFill="1" applyBorder="1" applyAlignment="1" applyProtection="1">
      <alignment horizontal="center"/>
    </xf>
    <xf numFmtId="0" fontId="1" fillId="0" borderId="3" xfId="0" applyNumberFormat="1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</cellXfs>
  <cellStyles count="6">
    <cellStyle name="Heading" xfId="2" xr:uid="{00000000-0005-0000-0000-000000000000}"/>
    <cellStyle name="一般" xfId="0" builtinId="0"/>
    <cellStyle name="一般 2" xfId="1" xr:uid="{00000000-0005-0000-0000-000002000000}"/>
    <cellStyle name="千分位 2" xfId="3" xr:uid="{00000000-0005-0000-0000-000003000000}"/>
    <cellStyle name="千分位[0] 2" xfId="4" xr:uid="{00000000-0005-0000-0000-000004000000}"/>
    <cellStyle name="百分比 2" xfId="5" xr:uid="{00000000-0005-0000-0000-000005000000}"/>
  </cellStyles>
  <dxfs count="6"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4260.551632986113" createdVersion="6" refreshedVersion="6" minRefreshableVersion="3" recordCount="372" xr:uid="{C211202C-D754-4B93-BE6E-978100B0C61A}">
  <cacheSource type="worksheet">
    <worksheetSource ref="B2:L374" sheet="訂單"/>
  </cacheSource>
  <cacheFields count="11">
    <cacheField name="編號" numFmtId="0">
      <sharedItems/>
    </cacheField>
    <cacheField name="業務員" numFmtId="0">
      <sharedItems count="7">
        <s v="李小民"/>
        <s v="陳正宏"/>
        <s v="江美如"/>
        <s v="李意峰"/>
        <s v="趙怡婷"/>
        <s v="王莉婷"/>
        <s v="劉文玉"/>
      </sharedItems>
    </cacheField>
    <cacheField name="交易日期" numFmtId="14">
      <sharedItems containsSemiMixedTypes="0" containsNonDate="0" containsDate="1" containsString="0" minDate="2018-01-02T00:00:00" maxDate="2020-12-19T00:00:00"/>
    </cacheField>
    <cacheField name="交易公司" numFmtId="0">
      <sharedItems/>
    </cacheField>
    <cacheField name="交易金額" numFmtId="180">
      <sharedItems containsSemiMixedTypes="0" containsString="0" containsNumber="1" containsInteger="1" minValue="15" maxValue="9885"/>
    </cacheField>
    <cacheField name="交易方式" numFmtId="176">
      <sharedItems count="6">
        <s v="現金"/>
        <s v="ATM轉帳"/>
        <s v="匯款"/>
        <s v="信用卡"/>
        <s v="行動支付"/>
        <s v="郵政劃撥"/>
      </sharedItems>
    </cacheField>
    <cacheField name="運費" numFmtId="180">
      <sharedItems containsSemiMixedTypes="0" containsString="0" containsNumber="1" containsInteger="1" minValue="0" maxValue="294"/>
    </cacheField>
    <cacheField name="稅額" numFmtId="180">
      <sharedItems containsSemiMixedTypes="0" containsString="0" containsNumber="1" containsInteger="1" minValue="1" maxValue="506"/>
    </cacheField>
    <cacheField name="運送方式" numFmtId="0">
      <sharedItems count="4">
        <s v="掛號"/>
        <s v="自取"/>
        <s v="快遞"/>
        <s v="包裹"/>
      </sharedItems>
    </cacheField>
    <cacheField name="獎金" numFmtId="180">
      <sharedItems containsSemiMixedTypes="0" containsString="0" containsNumber="1" containsInteger="1" minValue="0" maxValue="346"/>
    </cacheField>
    <cacheField name="稅後總金額" numFmtId="180">
      <sharedItems containsSemiMixedTypes="0" containsString="0" containsNumber="1" containsInteger="1" minValue="16" maxValue="10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s v="PN101062"/>
    <x v="0"/>
    <d v="2018-01-02T00:00:00"/>
    <s v="發財貿易股份有限公司"/>
    <n v="3477"/>
    <x v="0"/>
    <n v="62"/>
    <n v="177"/>
    <x v="0"/>
    <n v="70"/>
    <n v="3654"/>
  </r>
  <r>
    <s v="PN101098"/>
    <x v="1"/>
    <d v="2018-01-08T00:00:00"/>
    <s v="花花花坊"/>
    <n v="6159"/>
    <x v="1"/>
    <n v="110"/>
    <n v="313"/>
    <x v="0"/>
    <n v="185"/>
    <n v="6472"/>
  </r>
  <r>
    <s v="PN101105"/>
    <x v="0"/>
    <d v="2018-01-08T00:00:00"/>
    <s v="喜悅傳播事業"/>
    <n v="7451"/>
    <x v="1"/>
    <n v="0"/>
    <n v="373"/>
    <x v="1"/>
    <n v="224"/>
    <n v="7824"/>
  </r>
  <r>
    <s v="PN101107"/>
    <x v="1"/>
    <d v="2018-01-12T00:00:00"/>
    <s v="百合百貨股份有限公司"/>
    <n v="6933"/>
    <x v="2"/>
    <n v="207"/>
    <n v="357"/>
    <x v="2"/>
    <n v="208"/>
    <n v="7290"/>
  </r>
  <r>
    <s v="PN101160"/>
    <x v="0"/>
    <d v="2018-01-13T00:00:00"/>
    <s v="發財貿易股份有限公司"/>
    <n v="8440"/>
    <x v="3"/>
    <n v="151"/>
    <n v="430"/>
    <x v="0"/>
    <n v="295"/>
    <n v="8870"/>
  </r>
  <r>
    <s v="PN101187"/>
    <x v="1"/>
    <d v="2018-01-15T00:00:00"/>
    <s v="百合百貨股份有限公司"/>
    <n v="1904"/>
    <x v="0"/>
    <n v="38"/>
    <n v="97"/>
    <x v="3"/>
    <n v="29"/>
    <n v="2001"/>
  </r>
  <r>
    <s v="PN101211"/>
    <x v="2"/>
    <d v="2018-01-16T00:00:00"/>
    <s v="喜悅傳播事業"/>
    <n v="1687"/>
    <x v="1"/>
    <n v="33"/>
    <n v="86"/>
    <x v="3"/>
    <n v="25"/>
    <n v="1773"/>
  </r>
  <r>
    <s v="PN101316"/>
    <x v="3"/>
    <d v="2018-01-21T00:00:00"/>
    <s v="發財貿易股份有限公司"/>
    <n v="1747"/>
    <x v="4"/>
    <n v="0"/>
    <n v="87"/>
    <x v="1"/>
    <n v="26"/>
    <n v="1834"/>
  </r>
  <r>
    <s v="PN101404"/>
    <x v="3"/>
    <d v="2018-01-26T00:00:00"/>
    <s v="喜悅傳播事業"/>
    <n v="3688"/>
    <x v="0"/>
    <n v="0"/>
    <n v="184"/>
    <x v="1"/>
    <n v="92"/>
    <n v="3872"/>
  </r>
  <r>
    <s v="PN101416"/>
    <x v="3"/>
    <d v="2018-01-28T00:00:00"/>
    <s v="喜悅傳播事業"/>
    <n v="8277"/>
    <x v="3"/>
    <n v="148"/>
    <n v="421"/>
    <x v="0"/>
    <n v="290"/>
    <n v="8698"/>
  </r>
  <r>
    <s v="PN101422"/>
    <x v="4"/>
    <d v="2018-01-28T00:00:00"/>
    <s v="喜悅傳播事業"/>
    <n v="437"/>
    <x v="3"/>
    <n v="7"/>
    <n v="22"/>
    <x v="0"/>
    <n v="0"/>
    <n v="459"/>
  </r>
  <r>
    <s v="PN101455"/>
    <x v="4"/>
    <d v="2018-01-31T00:00:00"/>
    <s v="天天電腦資訊公司"/>
    <n v="6985"/>
    <x v="1"/>
    <n v="0"/>
    <n v="349"/>
    <x v="3"/>
    <n v="210"/>
    <n v="7334"/>
  </r>
  <r>
    <s v="PN101536"/>
    <x v="5"/>
    <d v="2018-02-01T00:00:00"/>
    <s v="發財貿易股份有限公司"/>
    <n v="4406"/>
    <x v="0"/>
    <n v="132"/>
    <n v="227"/>
    <x v="2"/>
    <n v="110"/>
    <n v="4633"/>
  </r>
  <r>
    <s v="PN101553"/>
    <x v="6"/>
    <d v="2018-02-09T00:00:00"/>
    <s v="快捷食品股份有限公司"/>
    <n v="3660"/>
    <x v="0"/>
    <n v="109"/>
    <n v="188"/>
    <x v="2"/>
    <n v="92"/>
    <n v="3848"/>
  </r>
  <r>
    <s v="PN101631"/>
    <x v="3"/>
    <d v="2018-02-12T00:00:00"/>
    <s v="快捷食品股份有限公司"/>
    <n v="3131"/>
    <x v="0"/>
    <n v="0"/>
    <n v="157"/>
    <x v="3"/>
    <n v="63"/>
    <n v="3288"/>
  </r>
  <r>
    <s v="PN101638"/>
    <x v="1"/>
    <d v="2018-02-13T00:00:00"/>
    <s v="花花花坊"/>
    <n v="4030"/>
    <x v="3"/>
    <n v="72"/>
    <n v="205"/>
    <x v="0"/>
    <n v="101"/>
    <n v="4235"/>
  </r>
  <r>
    <s v="PN101711"/>
    <x v="1"/>
    <d v="2018-02-14T00:00:00"/>
    <s v="百合百貨股份有限公司"/>
    <n v="6211"/>
    <x v="0"/>
    <n v="0"/>
    <n v="311"/>
    <x v="3"/>
    <n v="186"/>
    <n v="6522"/>
  </r>
  <r>
    <s v="PN101722"/>
    <x v="4"/>
    <d v="2018-02-20T00:00:00"/>
    <s v="百合百貨股份有限公司"/>
    <n v="6980"/>
    <x v="3"/>
    <n v="209"/>
    <n v="359"/>
    <x v="2"/>
    <n v="209"/>
    <n v="7339"/>
  </r>
  <r>
    <s v="PN101741"/>
    <x v="3"/>
    <d v="2018-03-03T00:00:00"/>
    <s v="發財貿易股份有限公司"/>
    <n v="2856"/>
    <x v="5"/>
    <n v="0"/>
    <n v="143"/>
    <x v="1"/>
    <n v="57"/>
    <n v="2999"/>
  </r>
  <r>
    <s v="PN101763"/>
    <x v="4"/>
    <d v="2018-03-05T00:00:00"/>
    <s v="快捷食品股份有限公司"/>
    <n v="7089"/>
    <x v="2"/>
    <n v="0"/>
    <n v="354"/>
    <x v="3"/>
    <n v="213"/>
    <n v="7443"/>
  </r>
  <r>
    <s v="PN101775"/>
    <x v="3"/>
    <d v="2018-03-10T00:00:00"/>
    <s v="百合百貨股份有限公司"/>
    <n v="5409"/>
    <x v="0"/>
    <n v="0"/>
    <n v="270"/>
    <x v="3"/>
    <n v="135"/>
    <n v="5679"/>
  </r>
  <r>
    <s v="PN101810"/>
    <x v="0"/>
    <d v="2018-03-11T00:00:00"/>
    <s v="發財貿易股份有限公司"/>
    <n v="8587"/>
    <x v="3"/>
    <n v="154"/>
    <n v="437"/>
    <x v="0"/>
    <n v="301"/>
    <n v="9024"/>
  </r>
  <r>
    <s v="PN101813"/>
    <x v="3"/>
    <d v="2018-03-14T00:00:00"/>
    <s v="百合百貨股份有限公司"/>
    <n v="117"/>
    <x v="0"/>
    <n v="0"/>
    <n v="6"/>
    <x v="1"/>
    <n v="0"/>
    <n v="123"/>
  </r>
  <r>
    <s v="PN101825"/>
    <x v="5"/>
    <d v="2018-03-16T00:00:00"/>
    <s v="發財貿易股份有限公司"/>
    <n v="350"/>
    <x v="1"/>
    <n v="0"/>
    <n v="18"/>
    <x v="1"/>
    <n v="0"/>
    <n v="368"/>
  </r>
  <r>
    <s v="PN101859"/>
    <x v="1"/>
    <d v="2018-03-17T00:00:00"/>
    <s v="快捷食品股份有限公司"/>
    <n v="410"/>
    <x v="1"/>
    <n v="8"/>
    <n v="21"/>
    <x v="3"/>
    <n v="0"/>
    <n v="431"/>
  </r>
  <r>
    <s v="PN101930"/>
    <x v="2"/>
    <d v="2018-03-19T00:00:00"/>
    <s v="發財貿易股份有限公司"/>
    <n v="9564"/>
    <x v="1"/>
    <n v="172"/>
    <n v="487"/>
    <x v="0"/>
    <n v="335"/>
    <n v="10051"/>
  </r>
  <r>
    <s v="PN101941"/>
    <x v="2"/>
    <d v="2018-03-20T00:00:00"/>
    <s v="百合百貨股份有限公司"/>
    <n v="3754"/>
    <x v="3"/>
    <n v="67"/>
    <n v="191"/>
    <x v="0"/>
    <n v="94"/>
    <n v="3945"/>
  </r>
  <r>
    <s v="PN101961"/>
    <x v="5"/>
    <d v="2018-03-22T00:00:00"/>
    <s v="花花花坊"/>
    <n v="3388"/>
    <x v="0"/>
    <n v="101"/>
    <n v="174"/>
    <x v="2"/>
    <n v="68"/>
    <n v="3562"/>
  </r>
  <r>
    <s v="PN101973"/>
    <x v="6"/>
    <d v="2018-03-24T00:00:00"/>
    <s v="花花花坊"/>
    <n v="4579"/>
    <x v="0"/>
    <n v="137"/>
    <n v="236"/>
    <x v="2"/>
    <n v="114"/>
    <n v="4815"/>
  </r>
  <r>
    <s v="PN101987"/>
    <x v="0"/>
    <d v="2018-03-28T00:00:00"/>
    <s v="天天電腦資訊公司"/>
    <n v="1345"/>
    <x v="1"/>
    <n v="24"/>
    <n v="68"/>
    <x v="0"/>
    <n v="13"/>
    <n v="1413"/>
  </r>
  <r>
    <s v="PN102005"/>
    <x v="6"/>
    <d v="2018-03-28T00:00:00"/>
    <s v="快捷食品股份有限公司"/>
    <n v="1187"/>
    <x v="0"/>
    <n v="0"/>
    <n v="59"/>
    <x v="1"/>
    <n v="12"/>
    <n v="1246"/>
  </r>
  <r>
    <s v="PN102033"/>
    <x v="3"/>
    <d v="2018-04-01T00:00:00"/>
    <s v="花花花坊"/>
    <n v="1842"/>
    <x v="4"/>
    <n v="55"/>
    <n v="95"/>
    <x v="2"/>
    <n v="28"/>
    <n v="1937"/>
  </r>
  <r>
    <s v="PN102115"/>
    <x v="5"/>
    <d v="2018-04-01T00:00:00"/>
    <s v="喜悅傳播事業"/>
    <n v="2577"/>
    <x v="0"/>
    <n v="0"/>
    <n v="129"/>
    <x v="1"/>
    <n v="52"/>
    <n v="2706"/>
  </r>
  <r>
    <s v="PN102207"/>
    <x v="6"/>
    <d v="2018-04-05T00:00:00"/>
    <s v="喜悅傳播事業"/>
    <n v="8279"/>
    <x v="4"/>
    <n v="0"/>
    <n v="414"/>
    <x v="3"/>
    <n v="290"/>
    <n v="8693"/>
  </r>
  <r>
    <s v="PN102243"/>
    <x v="6"/>
    <d v="2018-04-11T00:00:00"/>
    <s v="百合百貨股份有限公司"/>
    <n v="9462"/>
    <x v="1"/>
    <n v="0"/>
    <n v="473"/>
    <x v="1"/>
    <n v="331"/>
    <n v="9935"/>
  </r>
  <r>
    <s v="PN102279"/>
    <x v="1"/>
    <d v="2018-04-12T00:00:00"/>
    <s v="快捷食品股份有限公司"/>
    <n v="8727"/>
    <x v="1"/>
    <n v="157"/>
    <n v="444"/>
    <x v="0"/>
    <n v="305"/>
    <n v="9171"/>
  </r>
  <r>
    <s v="PN102295"/>
    <x v="4"/>
    <d v="2018-04-16T00:00:00"/>
    <s v="天天電腦資訊公司"/>
    <n v="1542"/>
    <x v="2"/>
    <n v="27"/>
    <n v="78"/>
    <x v="0"/>
    <n v="23"/>
    <n v="1620"/>
  </r>
  <r>
    <s v="PN102314"/>
    <x v="1"/>
    <d v="2018-04-16T00:00:00"/>
    <s v="花花花坊"/>
    <n v="6860"/>
    <x v="1"/>
    <n v="205"/>
    <n v="353"/>
    <x v="2"/>
    <n v="206"/>
    <n v="7213"/>
  </r>
  <r>
    <s v="PN102350"/>
    <x v="3"/>
    <d v="2018-04-21T00:00:00"/>
    <s v="發財貿易股份有限公司"/>
    <n v="1285"/>
    <x v="3"/>
    <n v="0"/>
    <n v="64"/>
    <x v="1"/>
    <n v="13"/>
    <n v="1349"/>
  </r>
  <r>
    <s v="PN102417"/>
    <x v="4"/>
    <d v="2018-04-28T00:00:00"/>
    <s v="天天電腦資訊公司"/>
    <n v="4051"/>
    <x v="0"/>
    <n v="0"/>
    <n v="203"/>
    <x v="3"/>
    <n v="101"/>
    <n v="4254"/>
  </r>
  <r>
    <s v="PN102465"/>
    <x v="5"/>
    <d v="2018-05-01T00:00:00"/>
    <s v="天天電腦資訊公司"/>
    <n v="844"/>
    <x v="3"/>
    <n v="25"/>
    <n v="43"/>
    <x v="2"/>
    <n v="0"/>
    <n v="887"/>
  </r>
  <r>
    <s v="PN102476"/>
    <x v="2"/>
    <d v="2018-05-02T00:00:00"/>
    <s v="快捷食品股份有限公司"/>
    <n v="831"/>
    <x v="0"/>
    <n v="16"/>
    <n v="42"/>
    <x v="3"/>
    <n v="0"/>
    <n v="873"/>
  </r>
  <r>
    <s v="PN102487"/>
    <x v="3"/>
    <d v="2018-05-09T00:00:00"/>
    <s v="百合百貨股份有限公司"/>
    <n v="7059"/>
    <x v="3"/>
    <n v="127"/>
    <n v="359"/>
    <x v="0"/>
    <n v="212"/>
    <n v="7418"/>
  </r>
  <r>
    <s v="PN102637"/>
    <x v="2"/>
    <d v="2018-05-10T00:00:00"/>
    <s v="發財貿易股份有限公司"/>
    <n v="7593"/>
    <x v="3"/>
    <n v="136"/>
    <n v="386"/>
    <x v="0"/>
    <n v="228"/>
    <n v="7979"/>
  </r>
  <r>
    <s v="PN102640"/>
    <x v="2"/>
    <d v="2018-05-11T00:00:00"/>
    <s v="花花花坊"/>
    <n v="8372"/>
    <x v="0"/>
    <n v="0"/>
    <n v="419"/>
    <x v="1"/>
    <n v="293"/>
    <n v="8791"/>
  </r>
  <r>
    <s v="PN102669"/>
    <x v="6"/>
    <d v="2018-05-20T00:00:00"/>
    <s v="花花花坊"/>
    <n v="1210"/>
    <x v="0"/>
    <n v="36"/>
    <n v="62"/>
    <x v="2"/>
    <n v="12"/>
    <n v="1272"/>
  </r>
  <r>
    <s v="PN102675"/>
    <x v="2"/>
    <d v="2018-05-23T00:00:00"/>
    <s v="百合百貨股份有限公司"/>
    <n v="6338"/>
    <x v="2"/>
    <n v="114"/>
    <n v="323"/>
    <x v="0"/>
    <n v="190"/>
    <n v="6661"/>
  </r>
  <r>
    <s v="PN102700"/>
    <x v="4"/>
    <d v="2018-06-02T00:00:00"/>
    <s v="百合百貨股份有限公司"/>
    <n v="871"/>
    <x v="1"/>
    <n v="17"/>
    <n v="44"/>
    <x v="3"/>
    <n v="0"/>
    <n v="915"/>
  </r>
  <r>
    <s v="PN102704"/>
    <x v="1"/>
    <d v="2018-06-03T00:00:00"/>
    <s v="快捷食品股份有限公司"/>
    <n v="6504"/>
    <x v="0"/>
    <n v="0"/>
    <n v="325"/>
    <x v="1"/>
    <n v="195"/>
    <n v="6829"/>
  </r>
  <r>
    <s v="PN102726"/>
    <x v="1"/>
    <d v="2018-06-04T00:00:00"/>
    <s v="天天電腦資訊公司"/>
    <n v="9475"/>
    <x v="2"/>
    <n v="0"/>
    <n v="474"/>
    <x v="3"/>
    <n v="332"/>
    <n v="9949"/>
  </r>
  <r>
    <s v="PN102814"/>
    <x v="5"/>
    <d v="2018-06-04T00:00:00"/>
    <s v="喜悅傳播事業"/>
    <n v="2790"/>
    <x v="1"/>
    <n v="50"/>
    <n v="142"/>
    <x v="0"/>
    <n v="56"/>
    <n v="2932"/>
  </r>
  <r>
    <s v="PN102830"/>
    <x v="5"/>
    <d v="2018-06-04T00:00:00"/>
    <s v="百合百貨股份有限公司"/>
    <n v="7471"/>
    <x v="0"/>
    <n v="0"/>
    <n v="374"/>
    <x v="1"/>
    <n v="224"/>
    <n v="7845"/>
  </r>
  <r>
    <s v="PN102851"/>
    <x v="0"/>
    <d v="2018-06-09T00:00:00"/>
    <s v="天天電腦資訊公司"/>
    <n v="2633"/>
    <x v="0"/>
    <n v="78"/>
    <n v="136"/>
    <x v="2"/>
    <n v="53"/>
    <n v="2769"/>
  </r>
  <r>
    <s v="PN102861"/>
    <x v="2"/>
    <d v="2018-06-18T00:00:00"/>
    <s v="百合百貨股份有限公司"/>
    <n v="1999"/>
    <x v="0"/>
    <n v="59"/>
    <n v="103"/>
    <x v="2"/>
    <n v="30"/>
    <n v="2102"/>
  </r>
  <r>
    <s v="PN102912"/>
    <x v="6"/>
    <d v="2018-06-20T00:00:00"/>
    <s v="喜悅傳播事業"/>
    <n v="2274"/>
    <x v="3"/>
    <n v="68"/>
    <n v="117"/>
    <x v="2"/>
    <n v="45"/>
    <n v="2391"/>
  </r>
  <r>
    <s v="PN102979"/>
    <x v="2"/>
    <d v="2018-06-23T00:00:00"/>
    <s v="天天電腦資訊公司"/>
    <n v="746"/>
    <x v="4"/>
    <n v="14"/>
    <n v="38"/>
    <x v="3"/>
    <n v="0"/>
    <n v="784"/>
  </r>
  <r>
    <s v="PN103014"/>
    <x v="1"/>
    <d v="2018-06-26T00:00:00"/>
    <s v="喜悅傳播事業"/>
    <n v="2923"/>
    <x v="4"/>
    <n v="52"/>
    <n v="149"/>
    <x v="0"/>
    <n v="58"/>
    <n v="3072"/>
  </r>
  <r>
    <s v="PN103027"/>
    <x v="6"/>
    <d v="2018-06-28T00:00:00"/>
    <s v="天天電腦資訊公司"/>
    <n v="5160"/>
    <x v="3"/>
    <n v="0"/>
    <n v="258"/>
    <x v="1"/>
    <n v="129"/>
    <n v="5418"/>
  </r>
  <r>
    <s v="PN103063"/>
    <x v="5"/>
    <d v="2018-07-01T00:00:00"/>
    <s v="花花花坊"/>
    <n v="5710"/>
    <x v="0"/>
    <n v="0"/>
    <n v="286"/>
    <x v="3"/>
    <n v="143"/>
    <n v="5996"/>
  </r>
  <r>
    <s v="PN103166"/>
    <x v="1"/>
    <d v="2018-07-03T00:00:00"/>
    <s v="喜悅傳播事業"/>
    <n v="9134"/>
    <x v="0"/>
    <n v="274"/>
    <n v="470"/>
    <x v="2"/>
    <n v="320"/>
    <n v="9604"/>
  </r>
  <r>
    <s v="PN103207"/>
    <x v="4"/>
    <d v="2018-07-06T00:00:00"/>
    <s v="快捷食品股份有限公司"/>
    <n v="4514"/>
    <x v="3"/>
    <n v="81"/>
    <n v="230"/>
    <x v="0"/>
    <n v="113"/>
    <n v="4744"/>
  </r>
  <r>
    <s v="PN103234"/>
    <x v="2"/>
    <d v="2018-07-06T00:00:00"/>
    <s v="花花花坊"/>
    <n v="2060"/>
    <x v="3"/>
    <n v="37"/>
    <n v="105"/>
    <x v="0"/>
    <n v="41"/>
    <n v="2165"/>
  </r>
  <r>
    <s v="PN103241"/>
    <x v="1"/>
    <d v="2018-07-14T00:00:00"/>
    <s v="快捷食品股份有限公司"/>
    <n v="6829"/>
    <x v="0"/>
    <n v="0"/>
    <n v="341"/>
    <x v="3"/>
    <n v="205"/>
    <n v="7170"/>
  </r>
  <r>
    <s v="PN103257"/>
    <x v="6"/>
    <d v="2018-07-14T00:00:00"/>
    <s v="百合百貨股份有限公司"/>
    <n v="2908"/>
    <x v="0"/>
    <n v="0"/>
    <n v="145"/>
    <x v="1"/>
    <n v="58"/>
    <n v="3053"/>
  </r>
  <r>
    <s v="PN103344"/>
    <x v="4"/>
    <d v="2018-07-16T00:00:00"/>
    <s v="天天電腦資訊公司"/>
    <n v="8677"/>
    <x v="1"/>
    <n v="0"/>
    <n v="434"/>
    <x v="1"/>
    <n v="304"/>
    <n v="9111"/>
  </r>
  <r>
    <s v="PN103345"/>
    <x v="3"/>
    <d v="2018-07-19T00:00:00"/>
    <s v="發財貿易股份有限公司"/>
    <n v="5949"/>
    <x v="5"/>
    <n v="0"/>
    <n v="297"/>
    <x v="3"/>
    <n v="149"/>
    <n v="6246"/>
  </r>
  <r>
    <s v="PN103399"/>
    <x v="3"/>
    <d v="2018-07-25T00:00:00"/>
    <s v="發財貿易股份有限公司"/>
    <n v="517"/>
    <x v="0"/>
    <n v="10"/>
    <n v="26"/>
    <x v="3"/>
    <n v="0"/>
    <n v="543"/>
  </r>
  <r>
    <s v="PN103402"/>
    <x v="6"/>
    <d v="2018-07-29T00:00:00"/>
    <s v="花花花坊"/>
    <n v="3959"/>
    <x v="0"/>
    <n v="71"/>
    <n v="202"/>
    <x v="0"/>
    <n v="99"/>
    <n v="4161"/>
  </r>
  <r>
    <s v="PN103561"/>
    <x v="1"/>
    <d v="2018-07-29T00:00:00"/>
    <s v="快捷食品股份有限公司"/>
    <n v="1677"/>
    <x v="3"/>
    <n v="33"/>
    <n v="86"/>
    <x v="3"/>
    <n v="25"/>
    <n v="1763"/>
  </r>
  <r>
    <s v="PN103625"/>
    <x v="0"/>
    <d v="2018-08-02T00:00:00"/>
    <s v="天天電腦資訊公司"/>
    <n v="3325"/>
    <x v="1"/>
    <n v="99"/>
    <n v="171"/>
    <x v="2"/>
    <n v="67"/>
    <n v="3496"/>
  </r>
  <r>
    <s v="PN103631"/>
    <x v="1"/>
    <d v="2018-08-02T00:00:00"/>
    <s v="花花花坊"/>
    <n v="8394"/>
    <x v="1"/>
    <n v="0"/>
    <n v="420"/>
    <x v="3"/>
    <n v="294"/>
    <n v="8814"/>
  </r>
  <r>
    <s v="PN103657"/>
    <x v="5"/>
    <d v="2018-08-03T00:00:00"/>
    <s v="喜悅傳播事業"/>
    <n v="9794"/>
    <x v="0"/>
    <n v="0"/>
    <n v="490"/>
    <x v="1"/>
    <n v="343"/>
    <n v="10284"/>
  </r>
  <r>
    <s v="PN103688"/>
    <x v="6"/>
    <d v="2018-08-03T00:00:00"/>
    <s v="天天電腦資訊公司"/>
    <n v="7405"/>
    <x v="1"/>
    <n v="222"/>
    <n v="381"/>
    <x v="2"/>
    <n v="222"/>
    <n v="7786"/>
  </r>
  <r>
    <s v="PN103697"/>
    <x v="2"/>
    <d v="2018-08-04T00:00:00"/>
    <s v="天天電腦資訊公司"/>
    <n v="5538"/>
    <x v="4"/>
    <n v="0"/>
    <n v="277"/>
    <x v="1"/>
    <n v="138"/>
    <n v="5815"/>
  </r>
  <r>
    <s v="PN103698"/>
    <x v="2"/>
    <d v="2018-08-05T00:00:00"/>
    <s v="快捷食品股份有限公司"/>
    <n v="5406"/>
    <x v="3"/>
    <n v="0"/>
    <n v="270"/>
    <x v="3"/>
    <n v="135"/>
    <n v="5676"/>
  </r>
  <r>
    <s v="PN103732"/>
    <x v="1"/>
    <d v="2018-08-07T00:00:00"/>
    <s v="天天電腦資訊公司"/>
    <n v="6131"/>
    <x v="3"/>
    <n v="110"/>
    <n v="312"/>
    <x v="0"/>
    <n v="184"/>
    <n v="6443"/>
  </r>
  <r>
    <s v="PN103738"/>
    <x v="4"/>
    <d v="2018-08-13T00:00:00"/>
    <s v="快捷食品股份有限公司"/>
    <n v="9460"/>
    <x v="4"/>
    <n v="0"/>
    <n v="473"/>
    <x v="3"/>
    <n v="331"/>
    <n v="9933"/>
  </r>
  <r>
    <s v="PN103747"/>
    <x v="4"/>
    <d v="2018-08-14T00:00:00"/>
    <s v="喜悅傳播事業"/>
    <n v="8692"/>
    <x v="1"/>
    <n v="156"/>
    <n v="442"/>
    <x v="0"/>
    <n v="304"/>
    <n v="9134"/>
  </r>
  <r>
    <s v="PN103811"/>
    <x v="0"/>
    <d v="2018-08-18T00:00:00"/>
    <s v="喜悅傳播事業"/>
    <n v="3058"/>
    <x v="3"/>
    <n v="55"/>
    <n v="156"/>
    <x v="0"/>
    <n v="61"/>
    <n v="3214"/>
  </r>
  <r>
    <s v="PN103814"/>
    <x v="2"/>
    <d v="2018-08-24T00:00:00"/>
    <s v="快捷食品股份有限公司"/>
    <n v="5434"/>
    <x v="3"/>
    <n v="163"/>
    <n v="280"/>
    <x v="2"/>
    <n v="136"/>
    <n v="5714"/>
  </r>
  <r>
    <s v="PN103843"/>
    <x v="0"/>
    <d v="2018-08-27T00:00:00"/>
    <s v="喜悅傳播事業"/>
    <n v="735"/>
    <x v="0"/>
    <n v="0"/>
    <n v="37"/>
    <x v="1"/>
    <n v="0"/>
    <n v="772"/>
  </r>
  <r>
    <s v="PN103868"/>
    <x v="3"/>
    <d v="2018-08-31T00:00:00"/>
    <s v="天天電腦資訊公司"/>
    <n v="2176"/>
    <x v="3"/>
    <n v="43"/>
    <n v="111"/>
    <x v="3"/>
    <n v="44"/>
    <n v="2287"/>
  </r>
  <r>
    <s v="PN103926"/>
    <x v="3"/>
    <d v="2018-09-06T00:00:00"/>
    <s v="發財貿易股份有限公司"/>
    <n v="6196"/>
    <x v="0"/>
    <n v="185"/>
    <n v="319"/>
    <x v="2"/>
    <n v="186"/>
    <n v="6515"/>
  </r>
  <r>
    <s v="PN104031"/>
    <x v="3"/>
    <d v="2018-09-08T00:00:00"/>
    <s v="百合百貨股份有限公司"/>
    <n v="4967"/>
    <x v="0"/>
    <n v="0"/>
    <n v="248"/>
    <x v="1"/>
    <n v="124"/>
    <n v="5215"/>
  </r>
  <r>
    <s v="PN104036"/>
    <x v="2"/>
    <d v="2018-09-08T00:00:00"/>
    <s v="天天電腦資訊公司"/>
    <n v="449"/>
    <x v="2"/>
    <n v="0"/>
    <n v="22"/>
    <x v="1"/>
    <n v="0"/>
    <n v="471"/>
  </r>
  <r>
    <s v="PN104040"/>
    <x v="1"/>
    <d v="2018-09-10T00:00:00"/>
    <s v="天天電腦資訊公司"/>
    <n v="8662"/>
    <x v="3"/>
    <n v="155"/>
    <n v="441"/>
    <x v="0"/>
    <n v="303"/>
    <n v="9103"/>
  </r>
  <r>
    <s v="PN104068"/>
    <x v="6"/>
    <d v="2018-09-17T00:00:00"/>
    <s v="天天電腦資訊公司"/>
    <n v="182"/>
    <x v="4"/>
    <n v="3"/>
    <n v="9"/>
    <x v="0"/>
    <n v="0"/>
    <n v="191"/>
  </r>
  <r>
    <s v="PN104083"/>
    <x v="2"/>
    <d v="2018-09-19T00:00:00"/>
    <s v="天天電腦資訊公司"/>
    <n v="7371"/>
    <x v="0"/>
    <n v="221"/>
    <n v="380"/>
    <x v="2"/>
    <n v="221"/>
    <n v="7751"/>
  </r>
  <r>
    <s v="PN104091"/>
    <x v="6"/>
    <d v="2018-09-26T00:00:00"/>
    <s v="花花花坊"/>
    <n v="9055"/>
    <x v="4"/>
    <n v="162"/>
    <n v="461"/>
    <x v="0"/>
    <n v="317"/>
    <n v="9516"/>
  </r>
  <r>
    <s v="PN104096"/>
    <x v="6"/>
    <d v="2018-10-09T00:00:00"/>
    <s v="花花花坊"/>
    <n v="5147"/>
    <x v="4"/>
    <n v="0"/>
    <n v="257"/>
    <x v="1"/>
    <n v="129"/>
    <n v="5404"/>
  </r>
  <r>
    <s v="PN104152"/>
    <x v="5"/>
    <d v="2018-10-12T00:00:00"/>
    <s v="快捷食品股份有限公司"/>
    <n v="3874"/>
    <x v="0"/>
    <n v="0"/>
    <n v="194"/>
    <x v="3"/>
    <n v="97"/>
    <n v="4068"/>
  </r>
  <r>
    <s v="PN104185"/>
    <x v="5"/>
    <d v="2018-10-15T00:00:00"/>
    <s v="快捷食品股份有限公司"/>
    <n v="3070"/>
    <x v="4"/>
    <n v="0"/>
    <n v="154"/>
    <x v="1"/>
    <n v="61"/>
    <n v="3224"/>
  </r>
  <r>
    <s v="PN104194"/>
    <x v="0"/>
    <d v="2018-10-19T00:00:00"/>
    <s v="喜悅傳播事業"/>
    <n v="9242"/>
    <x v="0"/>
    <n v="277"/>
    <n v="476"/>
    <x v="2"/>
    <n v="323"/>
    <n v="9718"/>
  </r>
  <r>
    <s v="PN104207"/>
    <x v="5"/>
    <d v="2018-10-21T00:00:00"/>
    <s v="發財貿易股份有限公司"/>
    <n v="5066"/>
    <x v="0"/>
    <n v="0"/>
    <n v="253"/>
    <x v="3"/>
    <n v="127"/>
    <n v="5319"/>
  </r>
  <r>
    <s v="PN104228"/>
    <x v="0"/>
    <d v="2018-10-22T00:00:00"/>
    <s v="喜悅傳播事業"/>
    <n v="5279"/>
    <x v="2"/>
    <n v="95"/>
    <n v="269"/>
    <x v="0"/>
    <n v="132"/>
    <n v="5548"/>
  </r>
  <r>
    <s v="PN104274"/>
    <x v="0"/>
    <d v="2018-10-22T00:00:00"/>
    <s v="花花花坊"/>
    <n v="2764"/>
    <x v="1"/>
    <n v="0"/>
    <n v="138"/>
    <x v="1"/>
    <n v="55"/>
    <n v="2902"/>
  </r>
  <r>
    <s v="PN104283"/>
    <x v="5"/>
    <d v="2018-11-04T00:00:00"/>
    <s v="發財貿易股份有限公司"/>
    <n v="9418"/>
    <x v="0"/>
    <n v="0"/>
    <n v="471"/>
    <x v="3"/>
    <n v="330"/>
    <n v="9889"/>
  </r>
  <r>
    <s v="PN104334"/>
    <x v="4"/>
    <d v="2018-11-05T00:00:00"/>
    <s v="喜悅傳播事業"/>
    <n v="1968"/>
    <x v="4"/>
    <n v="59"/>
    <n v="101"/>
    <x v="2"/>
    <n v="30"/>
    <n v="2069"/>
  </r>
  <r>
    <s v="PN104372"/>
    <x v="4"/>
    <d v="2018-11-11T00:00:00"/>
    <s v="快捷食品股份有限公司"/>
    <n v="1865"/>
    <x v="2"/>
    <n v="33"/>
    <n v="95"/>
    <x v="0"/>
    <n v="28"/>
    <n v="1960"/>
  </r>
  <r>
    <s v="PN104484"/>
    <x v="3"/>
    <d v="2018-11-17T00:00:00"/>
    <s v="喜悅傳播事業"/>
    <n v="9673"/>
    <x v="0"/>
    <n v="0"/>
    <n v="484"/>
    <x v="1"/>
    <n v="339"/>
    <n v="10157"/>
  </r>
  <r>
    <s v="PN104534"/>
    <x v="4"/>
    <d v="2018-11-19T00:00:00"/>
    <s v="快捷食品股份有限公司"/>
    <n v="8421"/>
    <x v="3"/>
    <n v="252"/>
    <n v="434"/>
    <x v="2"/>
    <n v="295"/>
    <n v="8855"/>
  </r>
  <r>
    <s v="PN104549"/>
    <x v="0"/>
    <d v="2018-11-21T00:00:00"/>
    <s v="發財貿易股份有限公司"/>
    <n v="2755"/>
    <x v="3"/>
    <n v="49"/>
    <n v="140"/>
    <x v="0"/>
    <n v="55"/>
    <n v="2895"/>
  </r>
  <r>
    <s v="PN104694"/>
    <x v="5"/>
    <d v="2018-11-23T00:00:00"/>
    <s v="百合百貨股份有限公司"/>
    <n v="2351"/>
    <x v="0"/>
    <n v="42"/>
    <n v="120"/>
    <x v="0"/>
    <n v="47"/>
    <n v="2471"/>
  </r>
  <r>
    <s v="PN104725"/>
    <x v="6"/>
    <d v="2018-11-26T00:00:00"/>
    <s v="百合百貨股份有限公司"/>
    <n v="5072"/>
    <x v="4"/>
    <n v="91"/>
    <n v="258"/>
    <x v="0"/>
    <n v="127"/>
    <n v="5330"/>
  </r>
  <r>
    <s v="PN104758"/>
    <x v="1"/>
    <d v="2018-11-29T00:00:00"/>
    <s v="天天電腦資訊公司"/>
    <n v="5219"/>
    <x v="1"/>
    <n v="0"/>
    <n v="261"/>
    <x v="1"/>
    <n v="130"/>
    <n v="5480"/>
  </r>
  <r>
    <s v="PN104767"/>
    <x v="5"/>
    <d v="2018-12-03T00:00:00"/>
    <s v="快捷食品股份有限公司"/>
    <n v="9781"/>
    <x v="1"/>
    <n v="0"/>
    <n v="489"/>
    <x v="1"/>
    <n v="342"/>
    <n v="10270"/>
  </r>
  <r>
    <s v="PN104856"/>
    <x v="2"/>
    <d v="2018-12-07T00:00:00"/>
    <s v="發財貿易股份有限公司"/>
    <n v="3413"/>
    <x v="3"/>
    <n v="102"/>
    <n v="176"/>
    <x v="2"/>
    <n v="68"/>
    <n v="3589"/>
  </r>
  <r>
    <s v="PN104935"/>
    <x v="3"/>
    <d v="2018-12-12T00:00:00"/>
    <s v="快捷食品股份有限公司"/>
    <n v="9555"/>
    <x v="0"/>
    <n v="171"/>
    <n v="486"/>
    <x v="0"/>
    <n v="334"/>
    <n v="10041"/>
  </r>
  <r>
    <s v="PN104976"/>
    <x v="1"/>
    <d v="2018-12-15T00:00:00"/>
    <s v="百合百貨股份有限公司"/>
    <n v="3406"/>
    <x v="0"/>
    <n v="0"/>
    <n v="170"/>
    <x v="3"/>
    <n v="68"/>
    <n v="3576"/>
  </r>
  <r>
    <s v="PN104988"/>
    <x v="4"/>
    <d v="2018-12-19T00:00:00"/>
    <s v="百合百貨股份有限公司"/>
    <n v="1600"/>
    <x v="3"/>
    <n v="28"/>
    <n v="81"/>
    <x v="0"/>
    <n v="24"/>
    <n v="1681"/>
  </r>
  <r>
    <s v="PN105049"/>
    <x v="4"/>
    <d v="2018-12-23T00:00:00"/>
    <s v="發財貿易股份有限公司"/>
    <n v="1490"/>
    <x v="3"/>
    <n v="26"/>
    <n v="76"/>
    <x v="0"/>
    <n v="15"/>
    <n v="1566"/>
  </r>
  <r>
    <s v="PN105113"/>
    <x v="3"/>
    <d v="2018-12-26T00:00:00"/>
    <s v="快捷食品股份有限公司"/>
    <n v="9131"/>
    <x v="3"/>
    <n v="273"/>
    <n v="470"/>
    <x v="2"/>
    <n v="320"/>
    <n v="9601"/>
  </r>
  <r>
    <s v="PN105149"/>
    <x v="5"/>
    <d v="2018-12-27T00:00:00"/>
    <s v="喜悅傳播事業"/>
    <n v="6682"/>
    <x v="1"/>
    <n v="0"/>
    <n v="334"/>
    <x v="3"/>
    <n v="200"/>
    <n v="7016"/>
  </r>
  <r>
    <s v="PN105183"/>
    <x v="4"/>
    <d v="2019-01-03T00:00:00"/>
    <s v="喜悅傳播事業"/>
    <n v="4586"/>
    <x v="3"/>
    <n v="0"/>
    <n v="229"/>
    <x v="1"/>
    <n v="115"/>
    <n v="4815"/>
  </r>
  <r>
    <s v="PN105241"/>
    <x v="0"/>
    <d v="2019-01-03T00:00:00"/>
    <s v="發財貿易股份有限公司"/>
    <n v="9472"/>
    <x v="0"/>
    <n v="0"/>
    <n v="474"/>
    <x v="3"/>
    <n v="332"/>
    <n v="9946"/>
  </r>
  <r>
    <s v="PN105294"/>
    <x v="3"/>
    <d v="2019-01-08T00:00:00"/>
    <s v="花花花坊"/>
    <n v="5726"/>
    <x v="0"/>
    <n v="103"/>
    <n v="291"/>
    <x v="0"/>
    <n v="143"/>
    <n v="6017"/>
  </r>
  <r>
    <s v="PN105304"/>
    <x v="0"/>
    <d v="2019-01-11T00:00:00"/>
    <s v="花花花坊"/>
    <n v="7941"/>
    <x v="4"/>
    <n v="238"/>
    <n v="409"/>
    <x v="2"/>
    <n v="238"/>
    <n v="8350"/>
  </r>
  <r>
    <s v="PN105340"/>
    <x v="1"/>
    <d v="2019-01-14T00:00:00"/>
    <s v="天天電腦資訊公司"/>
    <n v="6780"/>
    <x v="0"/>
    <n v="203"/>
    <n v="349"/>
    <x v="2"/>
    <n v="203"/>
    <n v="7129"/>
  </r>
  <r>
    <s v="PN105351"/>
    <x v="5"/>
    <d v="2019-01-15T00:00:00"/>
    <s v="天天電腦資訊公司"/>
    <n v="8199"/>
    <x v="0"/>
    <n v="0"/>
    <n v="410"/>
    <x v="3"/>
    <n v="287"/>
    <n v="8609"/>
  </r>
  <r>
    <s v="PN105367"/>
    <x v="3"/>
    <d v="2019-01-15T00:00:00"/>
    <s v="喜悅傳播事業"/>
    <n v="3217"/>
    <x v="0"/>
    <n v="57"/>
    <n v="164"/>
    <x v="0"/>
    <n v="64"/>
    <n v="3381"/>
  </r>
  <r>
    <s v="PN105369"/>
    <x v="5"/>
    <d v="2019-01-17T00:00:00"/>
    <s v="花花花坊"/>
    <n v="2570"/>
    <x v="5"/>
    <n v="46"/>
    <n v="131"/>
    <x v="0"/>
    <n v="51"/>
    <n v="2701"/>
  </r>
  <r>
    <s v="PN105480"/>
    <x v="2"/>
    <d v="2019-01-23T00:00:00"/>
    <s v="天天電腦資訊公司"/>
    <n v="1742"/>
    <x v="4"/>
    <n v="34"/>
    <n v="89"/>
    <x v="3"/>
    <n v="26"/>
    <n v="1831"/>
  </r>
  <r>
    <s v="PN105520"/>
    <x v="6"/>
    <d v="2019-01-23T00:00:00"/>
    <s v="快捷食品股份有限公司"/>
    <n v="7320"/>
    <x v="4"/>
    <n v="0"/>
    <n v="366"/>
    <x v="1"/>
    <n v="220"/>
    <n v="7686"/>
  </r>
  <r>
    <s v="PN105522"/>
    <x v="5"/>
    <d v="2019-01-29T00:00:00"/>
    <s v="喜悅傳播事業"/>
    <n v="2445"/>
    <x v="3"/>
    <n v="48"/>
    <n v="125"/>
    <x v="3"/>
    <n v="49"/>
    <n v="2570"/>
  </r>
  <r>
    <s v="PN105524"/>
    <x v="2"/>
    <d v="2019-02-06T00:00:00"/>
    <s v="發財貿易股份有限公司"/>
    <n v="3292"/>
    <x v="2"/>
    <n v="0"/>
    <n v="165"/>
    <x v="1"/>
    <n v="66"/>
    <n v="3457"/>
  </r>
  <r>
    <s v="PN105595"/>
    <x v="6"/>
    <d v="2019-02-08T00:00:00"/>
    <s v="百合百貨股份有限公司"/>
    <n v="4567"/>
    <x v="4"/>
    <n v="0"/>
    <n v="228"/>
    <x v="3"/>
    <n v="114"/>
    <n v="4795"/>
  </r>
  <r>
    <s v="PN105611"/>
    <x v="4"/>
    <d v="2019-02-09T00:00:00"/>
    <s v="喜悅傳播事業"/>
    <n v="1064"/>
    <x v="0"/>
    <n v="19"/>
    <n v="54"/>
    <x v="0"/>
    <n v="11"/>
    <n v="1118"/>
  </r>
  <r>
    <s v="PN105620"/>
    <x v="2"/>
    <d v="2019-02-16T00:00:00"/>
    <s v="快捷食品股份有限公司"/>
    <n v="5801"/>
    <x v="3"/>
    <n v="104"/>
    <n v="295"/>
    <x v="0"/>
    <n v="145"/>
    <n v="6096"/>
  </r>
  <r>
    <s v="PN105643"/>
    <x v="4"/>
    <d v="2019-02-17T00:00:00"/>
    <s v="天天電腦資訊公司"/>
    <n v="2020"/>
    <x v="1"/>
    <n v="36"/>
    <n v="103"/>
    <x v="0"/>
    <n v="40"/>
    <n v="2123"/>
  </r>
  <r>
    <s v="PN105689"/>
    <x v="0"/>
    <d v="2019-02-17T00:00:00"/>
    <s v="喜悅傳播事業"/>
    <n v="8998"/>
    <x v="0"/>
    <n v="0"/>
    <n v="450"/>
    <x v="3"/>
    <n v="315"/>
    <n v="9448"/>
  </r>
  <r>
    <s v="PN105754"/>
    <x v="1"/>
    <d v="2019-02-19T00:00:00"/>
    <s v="天天電腦資訊公司"/>
    <n v="9374"/>
    <x v="0"/>
    <n v="168"/>
    <n v="477"/>
    <x v="0"/>
    <n v="328"/>
    <n v="9851"/>
  </r>
  <r>
    <s v="PN105867"/>
    <x v="5"/>
    <d v="2019-02-19T00:00:00"/>
    <s v="花花花坊"/>
    <n v="5444"/>
    <x v="3"/>
    <n v="97"/>
    <n v="277"/>
    <x v="0"/>
    <n v="136"/>
    <n v="5721"/>
  </r>
  <r>
    <s v="PN105868"/>
    <x v="1"/>
    <d v="2019-02-27T00:00:00"/>
    <s v="喜悅傳播事業"/>
    <n v="7093"/>
    <x v="0"/>
    <n v="0"/>
    <n v="355"/>
    <x v="3"/>
    <n v="213"/>
    <n v="7448"/>
  </r>
  <r>
    <s v="PN105898"/>
    <x v="2"/>
    <d v="2019-02-27T00:00:00"/>
    <s v="天天電腦資訊公司"/>
    <n v="1528"/>
    <x v="0"/>
    <n v="0"/>
    <n v="76"/>
    <x v="1"/>
    <n v="23"/>
    <n v="1604"/>
  </r>
  <r>
    <s v="PN105939"/>
    <x v="4"/>
    <d v="2019-02-27T00:00:00"/>
    <s v="發財貿易股份有限公司"/>
    <n v="9383"/>
    <x v="3"/>
    <n v="0"/>
    <n v="469"/>
    <x v="1"/>
    <n v="328"/>
    <n v="9852"/>
  </r>
  <r>
    <s v="PN105948"/>
    <x v="2"/>
    <d v="2019-03-01T00:00:00"/>
    <s v="快捷食品股份有限公司"/>
    <n v="7121"/>
    <x v="0"/>
    <n v="128"/>
    <n v="362"/>
    <x v="0"/>
    <n v="214"/>
    <n v="7483"/>
  </r>
  <r>
    <s v="PN105951"/>
    <x v="2"/>
    <d v="2019-03-02T00:00:00"/>
    <s v="快捷食品股份有限公司"/>
    <n v="8507"/>
    <x v="0"/>
    <n v="0"/>
    <n v="425"/>
    <x v="3"/>
    <n v="298"/>
    <n v="8932"/>
  </r>
  <r>
    <s v="PN105980"/>
    <x v="2"/>
    <d v="2019-03-04T00:00:00"/>
    <s v="發財貿易股份有限公司"/>
    <n v="9074"/>
    <x v="3"/>
    <n v="0"/>
    <n v="454"/>
    <x v="1"/>
    <n v="318"/>
    <n v="9528"/>
  </r>
  <r>
    <s v="PN105985"/>
    <x v="5"/>
    <d v="2019-03-09T00:00:00"/>
    <s v="發財貿易股份有限公司"/>
    <n v="2310"/>
    <x v="1"/>
    <n v="0"/>
    <n v="116"/>
    <x v="1"/>
    <n v="46"/>
    <n v="2426"/>
  </r>
  <r>
    <s v="PN106005"/>
    <x v="4"/>
    <d v="2019-03-10T00:00:00"/>
    <s v="百合百貨股份有限公司"/>
    <n v="4001"/>
    <x v="4"/>
    <n v="0"/>
    <n v="200"/>
    <x v="3"/>
    <n v="100"/>
    <n v="4201"/>
  </r>
  <r>
    <s v="PN106012"/>
    <x v="0"/>
    <d v="2019-03-11T00:00:00"/>
    <s v="發財貿易股份有限公司"/>
    <n v="7099"/>
    <x v="0"/>
    <n v="0"/>
    <n v="355"/>
    <x v="3"/>
    <n v="213"/>
    <n v="7454"/>
  </r>
  <r>
    <s v="PN106086"/>
    <x v="2"/>
    <d v="2019-03-12T00:00:00"/>
    <s v="花花花坊"/>
    <n v="4662"/>
    <x v="1"/>
    <n v="139"/>
    <n v="240"/>
    <x v="2"/>
    <n v="117"/>
    <n v="4902"/>
  </r>
  <r>
    <s v="PN106120"/>
    <x v="0"/>
    <d v="2019-03-14T00:00:00"/>
    <s v="百合百貨股份有限公司"/>
    <n v="840"/>
    <x v="1"/>
    <n v="16"/>
    <n v="43"/>
    <x v="3"/>
    <n v="0"/>
    <n v="883"/>
  </r>
  <r>
    <s v="PN106186"/>
    <x v="4"/>
    <d v="2019-03-22T00:00:00"/>
    <s v="天天電腦資訊公司"/>
    <n v="3988"/>
    <x v="0"/>
    <n v="71"/>
    <n v="203"/>
    <x v="0"/>
    <n v="100"/>
    <n v="4191"/>
  </r>
  <r>
    <s v="PN106212"/>
    <x v="4"/>
    <d v="2019-03-27T00:00:00"/>
    <s v="天天電腦資訊公司"/>
    <n v="2037"/>
    <x v="3"/>
    <n v="40"/>
    <n v="104"/>
    <x v="3"/>
    <n v="41"/>
    <n v="2141"/>
  </r>
  <r>
    <s v="PN106258"/>
    <x v="6"/>
    <d v="2019-04-02T00:00:00"/>
    <s v="百合百貨股份有限公司"/>
    <n v="4759"/>
    <x v="2"/>
    <n v="142"/>
    <n v="245"/>
    <x v="2"/>
    <n v="119"/>
    <n v="5004"/>
  </r>
  <r>
    <s v="PN106307"/>
    <x v="6"/>
    <d v="2019-04-08T00:00:00"/>
    <s v="喜悅傳播事業"/>
    <n v="1058"/>
    <x v="3"/>
    <n v="0"/>
    <n v="53"/>
    <x v="1"/>
    <n v="11"/>
    <n v="1111"/>
  </r>
  <r>
    <s v="PN106451"/>
    <x v="1"/>
    <d v="2019-04-10T00:00:00"/>
    <s v="發財貿易股份有限公司"/>
    <n v="7247"/>
    <x v="4"/>
    <n v="0"/>
    <n v="362"/>
    <x v="1"/>
    <n v="217"/>
    <n v="7609"/>
  </r>
  <r>
    <s v="PN106486"/>
    <x v="2"/>
    <d v="2019-04-11T00:00:00"/>
    <s v="發財貿易股份有限公司"/>
    <n v="3496"/>
    <x v="2"/>
    <n v="0"/>
    <n v="175"/>
    <x v="1"/>
    <n v="70"/>
    <n v="3671"/>
  </r>
  <r>
    <s v="PN106497"/>
    <x v="4"/>
    <d v="2019-04-12T00:00:00"/>
    <s v="花花花坊"/>
    <n v="2148"/>
    <x v="0"/>
    <n v="64"/>
    <n v="111"/>
    <x v="2"/>
    <n v="43"/>
    <n v="2259"/>
  </r>
  <r>
    <s v="PN106576"/>
    <x v="1"/>
    <d v="2019-04-13T00:00:00"/>
    <s v="發財貿易股份有限公司"/>
    <n v="354"/>
    <x v="1"/>
    <n v="6"/>
    <n v="18"/>
    <x v="0"/>
    <n v="0"/>
    <n v="372"/>
  </r>
  <r>
    <s v="PN106581"/>
    <x v="1"/>
    <d v="2019-04-14T00:00:00"/>
    <s v="喜悅傳播事業"/>
    <n v="3332"/>
    <x v="3"/>
    <n v="0"/>
    <n v="167"/>
    <x v="3"/>
    <n v="67"/>
    <n v="3499"/>
  </r>
  <r>
    <s v="PN106591"/>
    <x v="3"/>
    <d v="2019-04-19T00:00:00"/>
    <s v="發財貿易股份有限公司"/>
    <n v="9505"/>
    <x v="3"/>
    <n v="0"/>
    <n v="475"/>
    <x v="1"/>
    <n v="333"/>
    <n v="9980"/>
  </r>
  <r>
    <s v="PN106642"/>
    <x v="5"/>
    <d v="2019-04-21T00:00:00"/>
    <s v="發財貿易股份有限公司"/>
    <n v="792"/>
    <x v="1"/>
    <n v="14"/>
    <n v="40"/>
    <x v="0"/>
    <n v="0"/>
    <n v="832"/>
  </r>
  <r>
    <s v="PN106706"/>
    <x v="6"/>
    <d v="2019-04-22T00:00:00"/>
    <s v="發財貿易股份有限公司"/>
    <n v="8172"/>
    <x v="3"/>
    <n v="147"/>
    <n v="416"/>
    <x v="0"/>
    <n v="286"/>
    <n v="8588"/>
  </r>
  <r>
    <s v="PN106711"/>
    <x v="5"/>
    <d v="2019-04-22T00:00:00"/>
    <s v="喜悅傳播事業"/>
    <n v="7906"/>
    <x v="4"/>
    <n v="237"/>
    <n v="407"/>
    <x v="2"/>
    <n v="237"/>
    <n v="8313"/>
  </r>
  <r>
    <s v="PN106749"/>
    <x v="3"/>
    <d v="2019-04-25T00:00:00"/>
    <s v="喜悅傳播事業"/>
    <n v="6138"/>
    <x v="3"/>
    <n v="110"/>
    <n v="312"/>
    <x v="0"/>
    <n v="184"/>
    <n v="6450"/>
  </r>
  <r>
    <s v="PN106757"/>
    <x v="0"/>
    <d v="2019-04-26T00:00:00"/>
    <s v="百合百貨股份有限公司"/>
    <n v="2681"/>
    <x v="3"/>
    <n v="53"/>
    <n v="137"/>
    <x v="3"/>
    <n v="54"/>
    <n v="2818"/>
  </r>
  <r>
    <s v="PN106818"/>
    <x v="2"/>
    <d v="2019-04-29T00:00:00"/>
    <s v="花花花坊"/>
    <n v="5927"/>
    <x v="4"/>
    <n v="177"/>
    <n v="305"/>
    <x v="2"/>
    <n v="148"/>
    <n v="6232"/>
  </r>
  <r>
    <s v="PN106860"/>
    <x v="2"/>
    <d v="2019-05-03T00:00:00"/>
    <s v="花花花坊"/>
    <n v="4503"/>
    <x v="1"/>
    <n v="81"/>
    <n v="229"/>
    <x v="0"/>
    <n v="113"/>
    <n v="4732"/>
  </r>
  <r>
    <s v="PN106871"/>
    <x v="4"/>
    <d v="2019-05-10T00:00:00"/>
    <s v="百合百貨股份有限公司"/>
    <n v="5391"/>
    <x v="0"/>
    <n v="0"/>
    <n v="270"/>
    <x v="3"/>
    <n v="135"/>
    <n v="5661"/>
  </r>
  <r>
    <s v="PN106882"/>
    <x v="2"/>
    <d v="2019-05-16T00:00:00"/>
    <s v="百合百貨股份有限公司"/>
    <n v="7273"/>
    <x v="3"/>
    <n v="0"/>
    <n v="364"/>
    <x v="1"/>
    <n v="218"/>
    <n v="7637"/>
  </r>
  <r>
    <s v="PN106899"/>
    <x v="5"/>
    <d v="2019-05-18T00:00:00"/>
    <s v="發財貿易股份有限公司"/>
    <n v="4300"/>
    <x v="2"/>
    <n v="129"/>
    <n v="221"/>
    <x v="2"/>
    <n v="108"/>
    <n v="4521"/>
  </r>
  <r>
    <s v="PN106934"/>
    <x v="4"/>
    <d v="2019-05-18T00:00:00"/>
    <s v="快捷食品股份有限公司"/>
    <n v="3663"/>
    <x v="0"/>
    <n v="65"/>
    <n v="186"/>
    <x v="0"/>
    <n v="92"/>
    <n v="3849"/>
  </r>
  <r>
    <s v="PN106954"/>
    <x v="1"/>
    <d v="2019-05-19T00:00:00"/>
    <s v="喜悅傳播事業"/>
    <n v="9742"/>
    <x v="3"/>
    <n v="0"/>
    <n v="487"/>
    <x v="3"/>
    <n v="341"/>
    <n v="10229"/>
  </r>
  <r>
    <s v="PN106961"/>
    <x v="3"/>
    <d v="2019-05-21T00:00:00"/>
    <s v="快捷食品股份有限公司"/>
    <n v="1720"/>
    <x v="2"/>
    <n v="0"/>
    <n v="86"/>
    <x v="1"/>
    <n v="26"/>
    <n v="1806"/>
  </r>
  <r>
    <s v="PN107029"/>
    <x v="2"/>
    <d v="2019-05-26T00:00:00"/>
    <s v="天天電腦資訊公司"/>
    <n v="9479"/>
    <x v="3"/>
    <n v="0"/>
    <n v="474"/>
    <x v="1"/>
    <n v="332"/>
    <n v="9953"/>
  </r>
  <r>
    <s v="PN107079"/>
    <x v="1"/>
    <d v="2019-06-02T00:00:00"/>
    <s v="天天電腦資訊公司"/>
    <n v="3649"/>
    <x v="1"/>
    <n v="0"/>
    <n v="182"/>
    <x v="3"/>
    <n v="91"/>
    <n v="3831"/>
  </r>
  <r>
    <s v="PN107111"/>
    <x v="4"/>
    <d v="2019-06-03T00:00:00"/>
    <s v="發財貿易股份有限公司"/>
    <n v="6336"/>
    <x v="0"/>
    <n v="114"/>
    <n v="323"/>
    <x v="0"/>
    <n v="190"/>
    <n v="6659"/>
  </r>
  <r>
    <s v="PN107152"/>
    <x v="3"/>
    <d v="2019-06-04T00:00:00"/>
    <s v="快捷食品股份有限公司"/>
    <n v="5533"/>
    <x v="4"/>
    <n v="99"/>
    <n v="282"/>
    <x v="0"/>
    <n v="138"/>
    <n v="5815"/>
  </r>
  <r>
    <s v="PN107190"/>
    <x v="1"/>
    <d v="2019-06-06T00:00:00"/>
    <s v="天天電腦資訊公司"/>
    <n v="355"/>
    <x v="2"/>
    <n v="0"/>
    <n v="18"/>
    <x v="1"/>
    <n v="0"/>
    <n v="373"/>
  </r>
  <r>
    <s v="PN107194"/>
    <x v="4"/>
    <d v="2019-06-07T00:00:00"/>
    <s v="百合百貨股份有限公司"/>
    <n v="444"/>
    <x v="1"/>
    <n v="8"/>
    <n v="23"/>
    <x v="3"/>
    <n v="0"/>
    <n v="467"/>
  </r>
  <r>
    <s v="PN107228"/>
    <x v="3"/>
    <d v="2019-06-09T00:00:00"/>
    <s v="發財貿易股份有限公司"/>
    <n v="4832"/>
    <x v="3"/>
    <n v="0"/>
    <n v="242"/>
    <x v="1"/>
    <n v="121"/>
    <n v="5074"/>
  </r>
  <r>
    <s v="PN107259"/>
    <x v="2"/>
    <d v="2019-06-19T00:00:00"/>
    <s v="天天電腦資訊公司"/>
    <n v="78"/>
    <x v="3"/>
    <n v="2"/>
    <n v="4"/>
    <x v="2"/>
    <n v="0"/>
    <n v="82"/>
  </r>
  <r>
    <s v="PN107278"/>
    <x v="5"/>
    <d v="2019-06-19T00:00:00"/>
    <s v="快捷食品股份有限公司"/>
    <n v="5088"/>
    <x v="0"/>
    <n v="0"/>
    <n v="254"/>
    <x v="3"/>
    <n v="127"/>
    <n v="5342"/>
  </r>
  <r>
    <s v="PN107292"/>
    <x v="5"/>
    <d v="2019-06-20T00:00:00"/>
    <s v="天天電腦資訊公司"/>
    <n v="5571"/>
    <x v="1"/>
    <n v="0"/>
    <n v="279"/>
    <x v="3"/>
    <n v="139"/>
    <n v="5850"/>
  </r>
  <r>
    <s v="PN107317"/>
    <x v="0"/>
    <d v="2019-06-20T00:00:00"/>
    <s v="百合百貨股份有限公司"/>
    <n v="1773"/>
    <x v="3"/>
    <n v="35"/>
    <n v="90"/>
    <x v="3"/>
    <n v="27"/>
    <n v="1863"/>
  </r>
  <r>
    <s v="PN107327"/>
    <x v="2"/>
    <d v="2019-06-23T00:00:00"/>
    <s v="快捷食品股份有限公司"/>
    <n v="15"/>
    <x v="0"/>
    <n v="0"/>
    <n v="1"/>
    <x v="3"/>
    <n v="0"/>
    <n v="16"/>
  </r>
  <r>
    <s v="PN107407"/>
    <x v="6"/>
    <d v="2019-06-24T00:00:00"/>
    <s v="百合百貨股份有限公司"/>
    <n v="9362"/>
    <x v="4"/>
    <n v="0"/>
    <n v="468"/>
    <x v="3"/>
    <n v="328"/>
    <n v="9830"/>
  </r>
  <r>
    <s v="PN107409"/>
    <x v="0"/>
    <d v="2019-06-24T00:00:00"/>
    <s v="喜悅傳播事業"/>
    <n v="8348"/>
    <x v="0"/>
    <n v="0"/>
    <n v="417"/>
    <x v="3"/>
    <n v="292"/>
    <n v="8765"/>
  </r>
  <r>
    <s v="PN107439"/>
    <x v="5"/>
    <d v="2019-06-27T00:00:00"/>
    <s v="花花花坊"/>
    <n v="6670"/>
    <x v="4"/>
    <n v="200"/>
    <n v="344"/>
    <x v="2"/>
    <n v="200"/>
    <n v="7014"/>
  </r>
  <r>
    <s v="PN107482"/>
    <x v="1"/>
    <d v="2019-06-29T00:00:00"/>
    <s v="快捷食品股份有限公司"/>
    <n v="7698"/>
    <x v="4"/>
    <n v="138"/>
    <n v="392"/>
    <x v="0"/>
    <n v="231"/>
    <n v="8090"/>
  </r>
  <r>
    <s v="PN107507"/>
    <x v="3"/>
    <d v="2019-06-29T00:00:00"/>
    <s v="發財貿易股份有限公司"/>
    <n v="9596"/>
    <x v="3"/>
    <n v="0"/>
    <n v="480"/>
    <x v="3"/>
    <n v="336"/>
    <n v="10076"/>
  </r>
  <r>
    <s v="PN107517"/>
    <x v="3"/>
    <d v="2019-07-01T00:00:00"/>
    <s v="快捷食品股份有限公司"/>
    <n v="7726"/>
    <x v="0"/>
    <n v="0"/>
    <n v="386"/>
    <x v="3"/>
    <n v="232"/>
    <n v="8112"/>
  </r>
  <r>
    <s v="PN107541"/>
    <x v="0"/>
    <d v="2019-07-06T00:00:00"/>
    <s v="天天電腦資訊公司"/>
    <n v="4394"/>
    <x v="0"/>
    <n v="0"/>
    <n v="220"/>
    <x v="3"/>
    <n v="110"/>
    <n v="4614"/>
  </r>
  <r>
    <s v="PN107545"/>
    <x v="6"/>
    <d v="2019-07-19T00:00:00"/>
    <s v="百合百貨股份有限公司"/>
    <n v="2963"/>
    <x v="4"/>
    <n v="88"/>
    <n v="153"/>
    <x v="2"/>
    <n v="59"/>
    <n v="3116"/>
  </r>
  <r>
    <s v="PN107593"/>
    <x v="5"/>
    <d v="2019-07-20T00:00:00"/>
    <s v="天天電腦資訊公司"/>
    <n v="9181"/>
    <x v="0"/>
    <n v="165"/>
    <n v="467"/>
    <x v="0"/>
    <n v="321"/>
    <n v="9648"/>
  </r>
  <r>
    <s v="PN107692"/>
    <x v="4"/>
    <d v="2019-07-23T00:00:00"/>
    <s v="快捷食品股份有限公司"/>
    <n v="6464"/>
    <x v="3"/>
    <n v="0"/>
    <n v="323"/>
    <x v="3"/>
    <n v="194"/>
    <n v="6787"/>
  </r>
  <r>
    <s v="PN107707"/>
    <x v="5"/>
    <d v="2019-07-24T00:00:00"/>
    <s v="喜悅傳播事業"/>
    <n v="5177"/>
    <x v="1"/>
    <n v="155"/>
    <n v="267"/>
    <x v="2"/>
    <n v="129"/>
    <n v="5444"/>
  </r>
  <r>
    <s v="PN107813"/>
    <x v="6"/>
    <d v="2019-07-29T00:00:00"/>
    <s v="喜悅傳播事業"/>
    <n v="7334"/>
    <x v="3"/>
    <n v="0"/>
    <n v="367"/>
    <x v="1"/>
    <n v="220"/>
    <n v="7701"/>
  </r>
  <r>
    <s v="PN107816"/>
    <x v="3"/>
    <d v="2019-07-31T00:00:00"/>
    <s v="百合百貨股份有限公司"/>
    <n v="8103"/>
    <x v="0"/>
    <n v="243"/>
    <n v="417"/>
    <x v="2"/>
    <n v="284"/>
    <n v="8520"/>
  </r>
  <r>
    <s v="PN107847"/>
    <x v="1"/>
    <d v="2019-08-01T00:00:00"/>
    <s v="喜悅傳播事業"/>
    <n v="2846"/>
    <x v="2"/>
    <n v="56"/>
    <n v="145"/>
    <x v="3"/>
    <n v="57"/>
    <n v="2991"/>
  </r>
  <r>
    <s v="PN107849"/>
    <x v="0"/>
    <d v="2019-08-01T00:00:00"/>
    <s v="百合百貨股份有限公司"/>
    <n v="3161"/>
    <x v="3"/>
    <n v="0"/>
    <n v="158"/>
    <x v="3"/>
    <n v="63"/>
    <n v="3319"/>
  </r>
  <r>
    <s v="PN107853"/>
    <x v="6"/>
    <d v="2019-08-06T00:00:00"/>
    <s v="花花花坊"/>
    <n v="5399"/>
    <x v="0"/>
    <n v="0"/>
    <n v="270"/>
    <x v="1"/>
    <n v="135"/>
    <n v="5669"/>
  </r>
  <r>
    <s v="PN107875"/>
    <x v="3"/>
    <d v="2019-08-07T00:00:00"/>
    <s v="發財貿易股份有限公司"/>
    <n v="9055"/>
    <x v="0"/>
    <n v="271"/>
    <n v="466"/>
    <x v="2"/>
    <n v="317"/>
    <n v="9521"/>
  </r>
  <r>
    <s v="PN107900"/>
    <x v="3"/>
    <d v="2019-08-13T00:00:00"/>
    <s v="快捷食品股份有限公司"/>
    <n v="9302"/>
    <x v="3"/>
    <n v="279"/>
    <n v="479"/>
    <x v="2"/>
    <n v="326"/>
    <n v="9781"/>
  </r>
  <r>
    <s v="PN107902"/>
    <x v="3"/>
    <d v="2019-08-14T00:00:00"/>
    <s v="天天電腦資訊公司"/>
    <n v="7554"/>
    <x v="4"/>
    <n v="0"/>
    <n v="378"/>
    <x v="3"/>
    <n v="227"/>
    <n v="7932"/>
  </r>
  <r>
    <s v="PN107962"/>
    <x v="1"/>
    <d v="2019-08-17T00:00:00"/>
    <s v="喜悅傳播事業"/>
    <n v="5920"/>
    <x v="0"/>
    <n v="0"/>
    <n v="296"/>
    <x v="1"/>
    <n v="148"/>
    <n v="6216"/>
  </r>
  <r>
    <s v="PN108063"/>
    <x v="1"/>
    <d v="2019-08-17T00:00:00"/>
    <s v="百合百貨股份有限公司"/>
    <n v="7504"/>
    <x v="3"/>
    <n v="0"/>
    <n v="375"/>
    <x v="3"/>
    <n v="225"/>
    <n v="7879"/>
  </r>
  <r>
    <s v="PN108146"/>
    <x v="0"/>
    <d v="2019-08-18T00:00:00"/>
    <s v="喜悅傳播事業"/>
    <n v="3859"/>
    <x v="4"/>
    <n v="0"/>
    <n v="193"/>
    <x v="1"/>
    <n v="96"/>
    <n v="4052"/>
  </r>
  <r>
    <s v="PN108153"/>
    <x v="0"/>
    <d v="2019-08-18T00:00:00"/>
    <s v="天天電腦資訊公司"/>
    <n v="1996"/>
    <x v="0"/>
    <n v="39"/>
    <n v="102"/>
    <x v="3"/>
    <n v="30"/>
    <n v="2098"/>
  </r>
  <r>
    <s v="PN108219"/>
    <x v="0"/>
    <d v="2019-08-26T00:00:00"/>
    <s v="發財貿易股份有限公司"/>
    <n v="3301"/>
    <x v="3"/>
    <n v="0"/>
    <n v="165"/>
    <x v="1"/>
    <n v="66"/>
    <n v="3466"/>
  </r>
  <r>
    <s v="PN108220"/>
    <x v="3"/>
    <d v="2019-08-30T00:00:00"/>
    <s v="快捷食品股份有限公司"/>
    <n v="2207"/>
    <x v="1"/>
    <n v="39"/>
    <n v="112"/>
    <x v="0"/>
    <n v="44"/>
    <n v="2319"/>
  </r>
  <r>
    <s v="PN108228"/>
    <x v="5"/>
    <d v="2019-08-30T00:00:00"/>
    <s v="天天電腦資訊公司"/>
    <n v="8055"/>
    <x v="0"/>
    <n v="0"/>
    <n v="403"/>
    <x v="1"/>
    <n v="282"/>
    <n v="8458"/>
  </r>
  <r>
    <s v="PN108238"/>
    <x v="6"/>
    <d v="2019-09-02T00:00:00"/>
    <s v="天天電腦資訊公司"/>
    <n v="6499"/>
    <x v="0"/>
    <n v="0"/>
    <n v="325"/>
    <x v="3"/>
    <n v="195"/>
    <n v="6824"/>
  </r>
  <r>
    <s v="PN108264"/>
    <x v="6"/>
    <d v="2019-09-02T00:00:00"/>
    <s v="喜悅傳播事業"/>
    <n v="492"/>
    <x v="3"/>
    <n v="8"/>
    <n v="25"/>
    <x v="0"/>
    <n v="0"/>
    <n v="517"/>
  </r>
  <r>
    <s v="PN108275"/>
    <x v="1"/>
    <d v="2019-09-03T00:00:00"/>
    <s v="快捷食品股份有限公司"/>
    <n v="4765"/>
    <x v="0"/>
    <n v="142"/>
    <n v="245"/>
    <x v="2"/>
    <n v="119"/>
    <n v="5010"/>
  </r>
  <r>
    <s v="PN108281"/>
    <x v="4"/>
    <d v="2019-09-12T00:00:00"/>
    <s v="百合百貨股份有限公司"/>
    <n v="4717"/>
    <x v="4"/>
    <n v="84"/>
    <n v="240"/>
    <x v="0"/>
    <n v="118"/>
    <n v="4957"/>
  </r>
  <r>
    <s v="PN108284"/>
    <x v="3"/>
    <d v="2019-09-12T00:00:00"/>
    <s v="喜悅傳播事業"/>
    <n v="432"/>
    <x v="1"/>
    <n v="0"/>
    <n v="22"/>
    <x v="1"/>
    <n v="0"/>
    <n v="454"/>
  </r>
  <r>
    <s v="PN108312"/>
    <x v="0"/>
    <d v="2019-09-20T00:00:00"/>
    <s v="花花花坊"/>
    <n v="9738"/>
    <x v="3"/>
    <n v="0"/>
    <n v="487"/>
    <x v="3"/>
    <n v="341"/>
    <n v="10225"/>
  </r>
  <r>
    <s v="PN108359"/>
    <x v="3"/>
    <d v="2019-09-25T00:00:00"/>
    <s v="發財貿易股份有限公司"/>
    <n v="53"/>
    <x v="3"/>
    <n v="1"/>
    <n v="3"/>
    <x v="2"/>
    <n v="0"/>
    <n v="56"/>
  </r>
  <r>
    <s v="PN108376"/>
    <x v="0"/>
    <d v="2019-09-25T00:00:00"/>
    <s v="百合百貨股份有限公司"/>
    <n v="412"/>
    <x v="4"/>
    <n v="8"/>
    <n v="21"/>
    <x v="3"/>
    <n v="0"/>
    <n v="433"/>
  </r>
  <r>
    <s v="PN108408"/>
    <x v="2"/>
    <d v="2019-09-29T00:00:00"/>
    <s v="快捷食品股份有限公司"/>
    <n v="2778"/>
    <x v="0"/>
    <n v="83"/>
    <n v="143"/>
    <x v="2"/>
    <n v="56"/>
    <n v="2921"/>
  </r>
  <r>
    <s v="PN108512"/>
    <x v="0"/>
    <d v="2019-09-29T00:00:00"/>
    <s v="快捷食品股份有限公司"/>
    <n v="1857"/>
    <x v="1"/>
    <n v="37"/>
    <n v="95"/>
    <x v="3"/>
    <n v="28"/>
    <n v="1952"/>
  </r>
  <r>
    <s v="PN108520"/>
    <x v="1"/>
    <d v="2019-09-29T00:00:00"/>
    <s v="發財貿易股份有限公司"/>
    <n v="8701"/>
    <x v="2"/>
    <n v="0"/>
    <n v="435"/>
    <x v="1"/>
    <n v="305"/>
    <n v="9136"/>
  </r>
  <r>
    <s v="PN108539"/>
    <x v="2"/>
    <d v="2019-09-30T00:00:00"/>
    <s v="發財貿易股份有限公司"/>
    <n v="6264"/>
    <x v="4"/>
    <n v="112"/>
    <n v="319"/>
    <x v="0"/>
    <n v="188"/>
    <n v="6583"/>
  </r>
  <r>
    <s v="PN108573"/>
    <x v="1"/>
    <d v="2019-10-03T00:00:00"/>
    <s v="快捷食品股份有限公司"/>
    <n v="5262"/>
    <x v="0"/>
    <n v="94"/>
    <n v="268"/>
    <x v="0"/>
    <n v="132"/>
    <n v="5530"/>
  </r>
  <r>
    <s v="PN108666"/>
    <x v="6"/>
    <d v="2019-10-05T00:00:00"/>
    <s v="發財貿易股份有限公司"/>
    <n v="6581"/>
    <x v="3"/>
    <n v="0"/>
    <n v="329"/>
    <x v="1"/>
    <n v="197"/>
    <n v="6910"/>
  </r>
  <r>
    <s v="PN108719"/>
    <x v="6"/>
    <d v="2019-10-11T00:00:00"/>
    <s v="百合百貨股份有限公司"/>
    <n v="9116"/>
    <x v="4"/>
    <n v="273"/>
    <n v="469"/>
    <x v="2"/>
    <n v="319"/>
    <n v="9585"/>
  </r>
  <r>
    <s v="PN108720"/>
    <x v="0"/>
    <d v="2019-10-13T00:00:00"/>
    <s v="喜悅傳播事業"/>
    <n v="7450"/>
    <x v="2"/>
    <n v="223"/>
    <n v="384"/>
    <x v="2"/>
    <n v="224"/>
    <n v="7834"/>
  </r>
  <r>
    <s v="PN108738"/>
    <x v="1"/>
    <d v="2019-10-19T00:00:00"/>
    <s v="天天電腦資訊公司"/>
    <n v="3728"/>
    <x v="2"/>
    <n v="0"/>
    <n v="186"/>
    <x v="1"/>
    <n v="93"/>
    <n v="3914"/>
  </r>
  <r>
    <s v="PN108753"/>
    <x v="6"/>
    <d v="2019-10-21T00:00:00"/>
    <s v="喜悅傳播事業"/>
    <n v="9085"/>
    <x v="3"/>
    <n v="0"/>
    <n v="454"/>
    <x v="3"/>
    <n v="318"/>
    <n v="9539"/>
  </r>
  <r>
    <s v="PN108756"/>
    <x v="5"/>
    <d v="2019-11-01T00:00:00"/>
    <s v="發財貿易股份有限公司"/>
    <n v="5338"/>
    <x v="0"/>
    <n v="0"/>
    <n v="267"/>
    <x v="3"/>
    <n v="133"/>
    <n v="5605"/>
  </r>
  <r>
    <s v="PN108771"/>
    <x v="6"/>
    <d v="2019-11-01T00:00:00"/>
    <s v="花花花坊"/>
    <n v="6289"/>
    <x v="4"/>
    <n v="0"/>
    <n v="314"/>
    <x v="1"/>
    <n v="189"/>
    <n v="6603"/>
  </r>
  <r>
    <s v="PN108892"/>
    <x v="2"/>
    <d v="2019-11-03T00:00:00"/>
    <s v="天天電腦資訊公司"/>
    <n v="3206"/>
    <x v="0"/>
    <n v="96"/>
    <n v="165"/>
    <x v="2"/>
    <n v="64"/>
    <n v="3371"/>
  </r>
  <r>
    <s v="PN108893"/>
    <x v="3"/>
    <d v="2019-11-03T00:00:00"/>
    <s v="快捷食品股份有限公司"/>
    <n v="19"/>
    <x v="2"/>
    <n v="0"/>
    <n v="1"/>
    <x v="3"/>
    <n v="0"/>
    <n v="20"/>
  </r>
  <r>
    <s v="PN108910"/>
    <x v="6"/>
    <d v="2019-11-04T00:00:00"/>
    <s v="天天電腦資訊公司"/>
    <n v="5666"/>
    <x v="3"/>
    <n v="0"/>
    <n v="283"/>
    <x v="3"/>
    <n v="142"/>
    <n v="5949"/>
  </r>
  <r>
    <s v="PN108926"/>
    <x v="3"/>
    <d v="2019-11-07T00:00:00"/>
    <s v="發財貿易股份有限公司"/>
    <n v="4903"/>
    <x v="3"/>
    <n v="147"/>
    <n v="253"/>
    <x v="2"/>
    <n v="123"/>
    <n v="5156"/>
  </r>
  <r>
    <s v="PN108932"/>
    <x v="0"/>
    <d v="2019-11-09T00:00:00"/>
    <s v="發財貿易股份有限公司"/>
    <n v="7465"/>
    <x v="4"/>
    <n v="0"/>
    <n v="373"/>
    <x v="3"/>
    <n v="224"/>
    <n v="7838"/>
  </r>
  <r>
    <s v="PN108944"/>
    <x v="0"/>
    <d v="2019-11-10T00:00:00"/>
    <s v="發財貿易股份有限公司"/>
    <n v="3650"/>
    <x v="1"/>
    <n v="0"/>
    <n v="183"/>
    <x v="3"/>
    <n v="91"/>
    <n v="3833"/>
  </r>
  <r>
    <s v="PN109014"/>
    <x v="3"/>
    <d v="2019-11-11T00:00:00"/>
    <s v="百合百貨股份有限公司"/>
    <n v="1189"/>
    <x v="4"/>
    <n v="35"/>
    <n v="61"/>
    <x v="2"/>
    <n v="12"/>
    <n v="1250"/>
  </r>
  <r>
    <s v="PN109027"/>
    <x v="5"/>
    <d v="2019-11-12T00:00:00"/>
    <s v="喜悅傳播事業"/>
    <n v="34"/>
    <x v="0"/>
    <n v="0"/>
    <n v="2"/>
    <x v="1"/>
    <n v="0"/>
    <n v="36"/>
  </r>
  <r>
    <s v="PN109040"/>
    <x v="3"/>
    <d v="2019-11-14T00:00:00"/>
    <s v="發財貿易股份有限公司"/>
    <n v="7870"/>
    <x v="2"/>
    <n v="0"/>
    <n v="394"/>
    <x v="1"/>
    <n v="236"/>
    <n v="8264"/>
  </r>
  <r>
    <s v="PN109054"/>
    <x v="0"/>
    <d v="2019-11-15T00:00:00"/>
    <s v="發財貿易股份有限公司"/>
    <n v="7959"/>
    <x v="3"/>
    <n v="0"/>
    <n v="398"/>
    <x v="1"/>
    <n v="239"/>
    <n v="8357"/>
  </r>
  <r>
    <s v="PN109075"/>
    <x v="6"/>
    <d v="2019-11-16T00:00:00"/>
    <s v="花花花坊"/>
    <n v="3888"/>
    <x v="3"/>
    <n v="69"/>
    <n v="198"/>
    <x v="0"/>
    <n v="97"/>
    <n v="4086"/>
  </r>
  <r>
    <s v="PN109116"/>
    <x v="3"/>
    <d v="2019-11-22T00:00:00"/>
    <s v="快捷食品股份有限公司"/>
    <n v="654"/>
    <x v="3"/>
    <n v="13"/>
    <n v="33"/>
    <x v="3"/>
    <n v="0"/>
    <n v="687"/>
  </r>
  <r>
    <s v="PN109195"/>
    <x v="3"/>
    <d v="2019-11-25T00:00:00"/>
    <s v="天天電腦資訊公司"/>
    <n v="9388"/>
    <x v="0"/>
    <n v="0"/>
    <n v="469"/>
    <x v="1"/>
    <n v="329"/>
    <n v="9857"/>
  </r>
  <r>
    <s v="PN109252"/>
    <x v="2"/>
    <d v="2019-11-26T00:00:00"/>
    <s v="快捷食品股份有限公司"/>
    <n v="8105"/>
    <x v="4"/>
    <n v="243"/>
    <n v="417"/>
    <x v="2"/>
    <n v="284"/>
    <n v="8522"/>
  </r>
  <r>
    <s v="PN109254"/>
    <x v="5"/>
    <d v="2019-11-26T00:00:00"/>
    <s v="發財貿易股份有限公司"/>
    <n v="698"/>
    <x v="3"/>
    <n v="12"/>
    <n v="36"/>
    <x v="0"/>
    <n v="0"/>
    <n v="734"/>
  </r>
  <r>
    <s v="PN109257"/>
    <x v="3"/>
    <d v="2019-12-03T00:00:00"/>
    <s v="花花花坊"/>
    <n v="3665"/>
    <x v="3"/>
    <n v="0"/>
    <n v="183"/>
    <x v="3"/>
    <n v="92"/>
    <n v="3848"/>
  </r>
  <r>
    <s v="PN109277"/>
    <x v="2"/>
    <d v="2019-12-03T00:00:00"/>
    <s v="喜悅傳播事業"/>
    <n v="8891"/>
    <x v="3"/>
    <n v="0"/>
    <n v="445"/>
    <x v="1"/>
    <n v="311"/>
    <n v="9336"/>
  </r>
  <r>
    <s v="PN109315"/>
    <x v="6"/>
    <d v="2019-12-04T00:00:00"/>
    <s v="快捷食品股份有限公司"/>
    <n v="1540"/>
    <x v="0"/>
    <n v="30"/>
    <n v="79"/>
    <x v="3"/>
    <n v="23"/>
    <n v="1619"/>
  </r>
  <r>
    <s v="PN109383"/>
    <x v="6"/>
    <d v="2019-12-14T00:00:00"/>
    <s v="花花花坊"/>
    <n v="8929"/>
    <x v="0"/>
    <n v="0"/>
    <n v="446"/>
    <x v="1"/>
    <n v="313"/>
    <n v="9375"/>
  </r>
  <r>
    <s v="PN109408"/>
    <x v="4"/>
    <d v="2019-12-15T00:00:00"/>
    <s v="百合百貨股份有限公司"/>
    <n v="7614"/>
    <x v="0"/>
    <n v="228"/>
    <n v="392"/>
    <x v="2"/>
    <n v="228"/>
    <n v="8006"/>
  </r>
  <r>
    <s v="PN109482"/>
    <x v="1"/>
    <d v="2019-12-17T00:00:00"/>
    <s v="喜悅傳播事業"/>
    <n v="7867"/>
    <x v="0"/>
    <n v="236"/>
    <n v="405"/>
    <x v="2"/>
    <n v="236"/>
    <n v="8272"/>
  </r>
  <r>
    <s v="PN109517"/>
    <x v="3"/>
    <d v="2019-12-18T00:00:00"/>
    <s v="發財貿易股份有限公司"/>
    <n v="1540"/>
    <x v="0"/>
    <n v="0"/>
    <n v="77"/>
    <x v="1"/>
    <n v="23"/>
    <n v="1617"/>
  </r>
  <r>
    <s v="PN109546"/>
    <x v="1"/>
    <d v="2019-12-18T00:00:00"/>
    <s v="快捷食品股份有限公司"/>
    <n v="2851"/>
    <x v="0"/>
    <n v="51"/>
    <n v="145"/>
    <x v="0"/>
    <n v="57"/>
    <n v="2996"/>
  </r>
  <r>
    <s v="PN109730"/>
    <x v="0"/>
    <d v="2019-12-21T00:00:00"/>
    <s v="花花花坊"/>
    <n v="6520"/>
    <x v="4"/>
    <n v="0"/>
    <n v="326"/>
    <x v="3"/>
    <n v="196"/>
    <n v="6846"/>
  </r>
  <r>
    <s v="PN109732"/>
    <x v="2"/>
    <d v="2019-12-25T00:00:00"/>
    <s v="快捷食品股份有限公司"/>
    <n v="5226"/>
    <x v="4"/>
    <n v="94"/>
    <n v="266"/>
    <x v="0"/>
    <n v="131"/>
    <n v="5492"/>
  </r>
  <r>
    <s v="PN109741"/>
    <x v="6"/>
    <d v="2020-01-01T00:00:00"/>
    <s v="百合百貨股份有限公司"/>
    <n v="1699"/>
    <x v="3"/>
    <n v="33"/>
    <n v="87"/>
    <x v="3"/>
    <n v="25"/>
    <n v="1786"/>
  </r>
  <r>
    <s v="PN109753"/>
    <x v="6"/>
    <d v="2020-01-03T00:00:00"/>
    <s v="百合百貨股份有限公司"/>
    <n v="3340"/>
    <x v="4"/>
    <n v="100"/>
    <n v="172"/>
    <x v="2"/>
    <n v="67"/>
    <n v="3512"/>
  </r>
  <r>
    <s v="PN109754"/>
    <x v="6"/>
    <d v="2020-01-04T00:00:00"/>
    <s v="快捷食品股份有限公司"/>
    <n v="6793"/>
    <x v="3"/>
    <n v="203"/>
    <n v="350"/>
    <x v="2"/>
    <n v="204"/>
    <n v="7143"/>
  </r>
  <r>
    <s v="PN109756"/>
    <x v="3"/>
    <d v="2020-01-06T00:00:00"/>
    <s v="發財貿易股份有限公司"/>
    <n v="211"/>
    <x v="2"/>
    <n v="0"/>
    <n v="11"/>
    <x v="1"/>
    <n v="0"/>
    <n v="222"/>
  </r>
  <r>
    <s v="PN109775"/>
    <x v="4"/>
    <d v="2020-01-13T00:00:00"/>
    <s v="天天電腦資訊公司"/>
    <n v="8621"/>
    <x v="0"/>
    <n v="155"/>
    <n v="439"/>
    <x v="0"/>
    <n v="302"/>
    <n v="9060"/>
  </r>
  <r>
    <s v="PN109805"/>
    <x v="0"/>
    <d v="2020-01-14T00:00:00"/>
    <s v="快捷食品股份有限公司"/>
    <n v="6977"/>
    <x v="1"/>
    <n v="125"/>
    <n v="355"/>
    <x v="0"/>
    <n v="209"/>
    <n v="7332"/>
  </r>
  <r>
    <s v="PN109840"/>
    <x v="2"/>
    <d v="2020-01-18T00:00:00"/>
    <s v="天天電腦資訊公司"/>
    <n v="112"/>
    <x v="0"/>
    <n v="2"/>
    <n v="6"/>
    <x v="3"/>
    <n v="0"/>
    <n v="118"/>
  </r>
  <r>
    <s v="PN109855"/>
    <x v="5"/>
    <d v="2020-01-20T00:00:00"/>
    <s v="百合百貨股份有限公司"/>
    <n v="948"/>
    <x v="4"/>
    <n v="18"/>
    <n v="48"/>
    <x v="3"/>
    <n v="0"/>
    <n v="996"/>
  </r>
  <r>
    <s v="PN109947"/>
    <x v="1"/>
    <d v="2020-01-25T00:00:00"/>
    <s v="天天電腦資訊公司"/>
    <n v="8211"/>
    <x v="3"/>
    <n v="147"/>
    <n v="418"/>
    <x v="0"/>
    <n v="287"/>
    <n v="8629"/>
  </r>
  <r>
    <s v="PN109979"/>
    <x v="1"/>
    <d v="2020-01-31T00:00:00"/>
    <s v="百合百貨股份有限公司"/>
    <n v="768"/>
    <x v="3"/>
    <n v="13"/>
    <n v="39"/>
    <x v="0"/>
    <n v="0"/>
    <n v="807"/>
  </r>
  <r>
    <s v="PN109996"/>
    <x v="5"/>
    <d v="2020-02-01T00:00:00"/>
    <s v="百合百貨股份有限公司"/>
    <n v="9313"/>
    <x v="3"/>
    <n v="0"/>
    <n v="466"/>
    <x v="1"/>
    <n v="326"/>
    <n v="9779"/>
  </r>
  <r>
    <s v="PN110038"/>
    <x v="0"/>
    <d v="2020-02-05T00:00:00"/>
    <s v="發財貿易股份有限公司"/>
    <n v="1686"/>
    <x v="1"/>
    <n v="50"/>
    <n v="87"/>
    <x v="2"/>
    <n v="25"/>
    <n v="1773"/>
  </r>
  <r>
    <s v="PN110062"/>
    <x v="3"/>
    <d v="2020-02-08T00:00:00"/>
    <s v="百合百貨股份有限公司"/>
    <n v="3923"/>
    <x v="2"/>
    <n v="117"/>
    <n v="202"/>
    <x v="2"/>
    <n v="98"/>
    <n v="4125"/>
  </r>
  <r>
    <s v="PN110131"/>
    <x v="6"/>
    <d v="2020-02-11T00:00:00"/>
    <s v="花花花坊"/>
    <n v="1657"/>
    <x v="0"/>
    <n v="0"/>
    <n v="83"/>
    <x v="1"/>
    <n v="25"/>
    <n v="1740"/>
  </r>
  <r>
    <s v="PN110138"/>
    <x v="2"/>
    <d v="2020-02-13T00:00:00"/>
    <s v="發財貿易股份有限公司"/>
    <n v="1345"/>
    <x v="4"/>
    <n v="0"/>
    <n v="67"/>
    <x v="1"/>
    <n v="13"/>
    <n v="1412"/>
  </r>
  <r>
    <s v="PN110141"/>
    <x v="6"/>
    <d v="2020-02-17T00:00:00"/>
    <s v="喜悅傳播事業"/>
    <n v="9829"/>
    <x v="5"/>
    <n v="294"/>
    <n v="506"/>
    <x v="2"/>
    <n v="344"/>
    <n v="10335"/>
  </r>
  <r>
    <s v="PN110151"/>
    <x v="2"/>
    <d v="2020-02-18T00:00:00"/>
    <s v="喜悅傳播事業"/>
    <n v="7388"/>
    <x v="1"/>
    <n v="221"/>
    <n v="380"/>
    <x v="2"/>
    <n v="222"/>
    <n v="7768"/>
  </r>
  <r>
    <s v="PN110237"/>
    <x v="5"/>
    <d v="2020-03-04T00:00:00"/>
    <s v="天天電腦資訊公司"/>
    <n v="7867"/>
    <x v="3"/>
    <n v="236"/>
    <n v="405"/>
    <x v="2"/>
    <n v="236"/>
    <n v="8272"/>
  </r>
  <r>
    <s v="PN110270"/>
    <x v="1"/>
    <d v="2020-03-04T00:00:00"/>
    <s v="快捷食品股份有限公司"/>
    <n v="602"/>
    <x v="0"/>
    <n v="18"/>
    <n v="31"/>
    <x v="2"/>
    <n v="0"/>
    <n v="633"/>
  </r>
  <r>
    <s v="PN110336"/>
    <x v="4"/>
    <d v="2020-03-10T00:00:00"/>
    <s v="快捷食品股份有限公司"/>
    <n v="6258"/>
    <x v="0"/>
    <n v="112"/>
    <n v="319"/>
    <x v="0"/>
    <n v="188"/>
    <n v="6577"/>
  </r>
  <r>
    <s v="PN110353"/>
    <x v="1"/>
    <d v="2020-03-11T00:00:00"/>
    <s v="花花花坊"/>
    <n v="9885"/>
    <x v="0"/>
    <n v="0"/>
    <n v="494"/>
    <x v="3"/>
    <n v="346"/>
    <n v="10379"/>
  </r>
  <r>
    <s v="PN110397"/>
    <x v="0"/>
    <d v="2020-03-23T00:00:00"/>
    <s v="發財貿易股份有限公司"/>
    <n v="5145"/>
    <x v="2"/>
    <n v="0"/>
    <n v="257"/>
    <x v="1"/>
    <n v="129"/>
    <n v="5402"/>
  </r>
  <r>
    <s v="PN110450"/>
    <x v="2"/>
    <d v="2020-03-25T00:00:00"/>
    <s v="天天電腦資訊公司"/>
    <n v="8223"/>
    <x v="3"/>
    <n v="148"/>
    <n v="419"/>
    <x v="0"/>
    <n v="288"/>
    <n v="8642"/>
  </r>
  <r>
    <s v="PN110561"/>
    <x v="1"/>
    <d v="2020-03-25T00:00:00"/>
    <s v="快捷食品股份有限公司"/>
    <n v="7569"/>
    <x v="4"/>
    <n v="227"/>
    <n v="390"/>
    <x v="2"/>
    <n v="227"/>
    <n v="7959"/>
  </r>
  <r>
    <s v="PN110589"/>
    <x v="3"/>
    <d v="2020-03-25T00:00:00"/>
    <s v="花花花坊"/>
    <n v="7406"/>
    <x v="0"/>
    <n v="0"/>
    <n v="370"/>
    <x v="3"/>
    <n v="222"/>
    <n v="7776"/>
  </r>
  <r>
    <s v="PN110619"/>
    <x v="1"/>
    <d v="2020-04-05T00:00:00"/>
    <s v="快捷食品股份有限公司"/>
    <n v="2440"/>
    <x v="2"/>
    <n v="43"/>
    <n v="124"/>
    <x v="0"/>
    <n v="49"/>
    <n v="2564"/>
  </r>
  <r>
    <s v="PN110645"/>
    <x v="6"/>
    <d v="2020-04-08T00:00:00"/>
    <s v="百合百貨股份有限公司"/>
    <n v="847"/>
    <x v="3"/>
    <n v="25"/>
    <n v="44"/>
    <x v="2"/>
    <n v="0"/>
    <n v="891"/>
  </r>
  <r>
    <s v="PN110671"/>
    <x v="3"/>
    <d v="2020-04-09T00:00:00"/>
    <s v="快捷食品股份有限公司"/>
    <n v="4042"/>
    <x v="3"/>
    <n v="121"/>
    <n v="208"/>
    <x v="2"/>
    <n v="101"/>
    <n v="4250"/>
  </r>
  <r>
    <s v="PN110741"/>
    <x v="5"/>
    <d v="2020-04-11T00:00:00"/>
    <s v="天天電腦資訊公司"/>
    <n v="5625"/>
    <x v="2"/>
    <n v="0"/>
    <n v="281"/>
    <x v="3"/>
    <n v="141"/>
    <n v="5906"/>
  </r>
  <r>
    <s v="PN110763"/>
    <x v="5"/>
    <d v="2020-04-16T00:00:00"/>
    <s v="百合百貨股份有限公司"/>
    <n v="9272"/>
    <x v="3"/>
    <n v="0"/>
    <n v="464"/>
    <x v="3"/>
    <n v="325"/>
    <n v="9736"/>
  </r>
  <r>
    <s v="PN110782"/>
    <x v="4"/>
    <d v="2020-04-17T00:00:00"/>
    <s v="花花花坊"/>
    <n v="8737"/>
    <x v="4"/>
    <n v="0"/>
    <n v="437"/>
    <x v="3"/>
    <n v="306"/>
    <n v="9174"/>
  </r>
  <r>
    <s v="PN110786"/>
    <x v="5"/>
    <d v="2020-04-17T00:00:00"/>
    <s v="百合百貨股份有限公司"/>
    <n v="7220"/>
    <x v="1"/>
    <n v="0"/>
    <n v="361"/>
    <x v="1"/>
    <n v="217"/>
    <n v="7581"/>
  </r>
  <r>
    <s v="PN110793"/>
    <x v="2"/>
    <d v="2020-04-19T00:00:00"/>
    <s v="喜悅傳播事業"/>
    <n v="2785"/>
    <x v="0"/>
    <n v="83"/>
    <n v="143"/>
    <x v="2"/>
    <n v="56"/>
    <n v="2928"/>
  </r>
  <r>
    <s v="PN110816"/>
    <x v="2"/>
    <d v="2020-04-20T00:00:00"/>
    <s v="喜悅傳播事業"/>
    <n v="1017"/>
    <x v="3"/>
    <n v="18"/>
    <n v="52"/>
    <x v="0"/>
    <n v="10"/>
    <n v="1069"/>
  </r>
  <r>
    <s v="PN110858"/>
    <x v="4"/>
    <d v="2020-04-24T00:00:00"/>
    <s v="百合百貨股份有限公司"/>
    <n v="4861"/>
    <x v="4"/>
    <n v="0"/>
    <n v="243"/>
    <x v="1"/>
    <n v="122"/>
    <n v="5104"/>
  </r>
  <r>
    <s v="PN110870"/>
    <x v="0"/>
    <d v="2020-05-01T00:00:00"/>
    <s v="發財貿易股份有限公司"/>
    <n v="3431"/>
    <x v="1"/>
    <n v="0"/>
    <n v="172"/>
    <x v="3"/>
    <n v="69"/>
    <n v="3603"/>
  </r>
  <r>
    <s v="PN110894"/>
    <x v="2"/>
    <d v="2020-05-02T00:00:00"/>
    <s v="發財貿易股份有限公司"/>
    <n v="8842"/>
    <x v="4"/>
    <n v="0"/>
    <n v="442"/>
    <x v="1"/>
    <n v="309"/>
    <n v="9284"/>
  </r>
  <r>
    <s v="PN110975"/>
    <x v="5"/>
    <d v="2020-05-02T00:00:00"/>
    <s v="喜悅傳播事業"/>
    <n v="2394"/>
    <x v="0"/>
    <n v="71"/>
    <n v="123"/>
    <x v="2"/>
    <n v="48"/>
    <n v="2517"/>
  </r>
  <r>
    <s v="PN111022"/>
    <x v="0"/>
    <d v="2020-05-04T00:00:00"/>
    <s v="百合百貨股份有限公司"/>
    <n v="5223"/>
    <x v="0"/>
    <n v="0"/>
    <n v="261"/>
    <x v="1"/>
    <n v="131"/>
    <n v="5484"/>
  </r>
  <r>
    <s v="PN111088"/>
    <x v="1"/>
    <d v="2020-05-08T00:00:00"/>
    <s v="快捷食品股份有限公司"/>
    <n v="4302"/>
    <x v="4"/>
    <n v="0"/>
    <n v="215"/>
    <x v="1"/>
    <n v="108"/>
    <n v="4517"/>
  </r>
  <r>
    <s v="PN111132"/>
    <x v="2"/>
    <d v="2020-05-13T00:00:00"/>
    <s v="發財貿易股份有限公司"/>
    <n v="8494"/>
    <x v="0"/>
    <n v="152"/>
    <n v="432"/>
    <x v="0"/>
    <n v="297"/>
    <n v="8926"/>
  </r>
  <r>
    <s v="PN111157"/>
    <x v="5"/>
    <d v="2020-05-15T00:00:00"/>
    <s v="花花花坊"/>
    <n v="1112"/>
    <x v="4"/>
    <n v="22"/>
    <n v="57"/>
    <x v="3"/>
    <n v="11"/>
    <n v="1169"/>
  </r>
  <r>
    <s v="PN111185"/>
    <x v="3"/>
    <d v="2020-05-17T00:00:00"/>
    <s v="快捷食品股份有限公司"/>
    <n v="8433"/>
    <x v="3"/>
    <n v="252"/>
    <n v="434"/>
    <x v="2"/>
    <n v="295"/>
    <n v="8867"/>
  </r>
  <r>
    <s v="PN111239"/>
    <x v="6"/>
    <d v="2020-05-20T00:00:00"/>
    <s v="發財貿易股份有限公司"/>
    <n v="5574"/>
    <x v="2"/>
    <n v="167"/>
    <n v="287"/>
    <x v="2"/>
    <n v="139"/>
    <n v="5861"/>
  </r>
  <r>
    <s v="PN111259"/>
    <x v="3"/>
    <d v="2020-05-23T00:00:00"/>
    <s v="喜悅傳播事業"/>
    <n v="5562"/>
    <x v="0"/>
    <n v="0"/>
    <n v="278"/>
    <x v="1"/>
    <n v="139"/>
    <n v="5840"/>
  </r>
  <r>
    <s v="PN111294"/>
    <x v="4"/>
    <d v="2020-05-28T00:00:00"/>
    <s v="花花花坊"/>
    <n v="6749"/>
    <x v="4"/>
    <n v="121"/>
    <n v="344"/>
    <x v="0"/>
    <n v="202"/>
    <n v="7093"/>
  </r>
  <r>
    <s v="PN111333"/>
    <x v="4"/>
    <d v="2020-06-03T00:00:00"/>
    <s v="喜悅傳播事業"/>
    <n v="2510"/>
    <x v="4"/>
    <n v="75"/>
    <n v="129"/>
    <x v="2"/>
    <n v="50"/>
    <n v="2639"/>
  </r>
  <r>
    <s v="PN111417"/>
    <x v="3"/>
    <d v="2020-06-05T00:00:00"/>
    <s v="快捷食品股份有限公司"/>
    <n v="3848"/>
    <x v="3"/>
    <n v="0"/>
    <n v="192"/>
    <x v="3"/>
    <n v="96"/>
    <n v="4040"/>
  </r>
  <r>
    <s v="PN111461"/>
    <x v="1"/>
    <d v="2020-06-07T00:00:00"/>
    <s v="發財貿易股份有限公司"/>
    <n v="7514"/>
    <x v="3"/>
    <n v="135"/>
    <n v="382"/>
    <x v="0"/>
    <n v="225"/>
    <n v="7896"/>
  </r>
  <r>
    <s v="PN111490"/>
    <x v="2"/>
    <d v="2020-06-07T00:00:00"/>
    <s v="喜悅傳播事業"/>
    <n v="2082"/>
    <x v="4"/>
    <n v="41"/>
    <n v="106"/>
    <x v="3"/>
    <n v="42"/>
    <n v="2188"/>
  </r>
  <r>
    <s v="PN111511"/>
    <x v="0"/>
    <d v="2020-06-09T00:00:00"/>
    <s v="快捷食品股份有限公司"/>
    <n v="5067"/>
    <x v="0"/>
    <n v="0"/>
    <n v="253"/>
    <x v="3"/>
    <n v="127"/>
    <n v="5320"/>
  </r>
  <r>
    <s v="PN111538"/>
    <x v="0"/>
    <d v="2020-06-11T00:00:00"/>
    <s v="發財貿易股份有限公司"/>
    <n v="8062"/>
    <x v="4"/>
    <n v="241"/>
    <n v="415"/>
    <x v="2"/>
    <n v="282"/>
    <n v="8477"/>
  </r>
  <r>
    <s v="PN111580"/>
    <x v="0"/>
    <d v="2020-06-13T00:00:00"/>
    <s v="快捷食品股份有限公司"/>
    <n v="1784"/>
    <x v="0"/>
    <n v="53"/>
    <n v="92"/>
    <x v="2"/>
    <n v="27"/>
    <n v="1876"/>
  </r>
  <r>
    <s v="PN111600"/>
    <x v="4"/>
    <d v="2020-06-15T00:00:00"/>
    <s v="快捷食品股份有限公司"/>
    <n v="152"/>
    <x v="1"/>
    <n v="3"/>
    <n v="8"/>
    <x v="3"/>
    <n v="0"/>
    <n v="160"/>
  </r>
  <r>
    <s v="PN111633"/>
    <x v="2"/>
    <d v="2020-06-17T00:00:00"/>
    <s v="快捷食品股份有限公司"/>
    <n v="1599"/>
    <x v="1"/>
    <n v="0"/>
    <n v="80"/>
    <x v="1"/>
    <n v="24"/>
    <n v="1679"/>
  </r>
  <r>
    <s v="PN111645"/>
    <x v="0"/>
    <d v="2020-06-23T00:00:00"/>
    <s v="花花花坊"/>
    <n v="79"/>
    <x v="2"/>
    <n v="0"/>
    <n v="4"/>
    <x v="1"/>
    <n v="0"/>
    <n v="83"/>
  </r>
  <r>
    <s v="PN111701"/>
    <x v="1"/>
    <d v="2020-06-29T00:00:00"/>
    <s v="天天電腦資訊公司"/>
    <n v="674"/>
    <x v="1"/>
    <n v="13"/>
    <n v="34"/>
    <x v="3"/>
    <n v="0"/>
    <n v="708"/>
  </r>
  <r>
    <s v="PN111713"/>
    <x v="6"/>
    <d v="2020-07-04T00:00:00"/>
    <s v="百合百貨股份有限公司"/>
    <n v="8139"/>
    <x v="1"/>
    <n v="0"/>
    <n v="407"/>
    <x v="3"/>
    <n v="285"/>
    <n v="8546"/>
  </r>
  <r>
    <s v="PN111715"/>
    <x v="2"/>
    <d v="2020-07-06T00:00:00"/>
    <s v="天天電腦資訊公司"/>
    <n v="7611"/>
    <x v="3"/>
    <n v="0"/>
    <n v="381"/>
    <x v="1"/>
    <n v="228"/>
    <n v="7992"/>
  </r>
  <r>
    <s v="PN111719"/>
    <x v="3"/>
    <d v="2020-07-06T00:00:00"/>
    <s v="快捷食品股份有限公司"/>
    <n v="3455"/>
    <x v="3"/>
    <n v="0"/>
    <n v="173"/>
    <x v="3"/>
    <n v="69"/>
    <n v="3628"/>
  </r>
  <r>
    <s v="PN111722"/>
    <x v="3"/>
    <d v="2020-07-09T00:00:00"/>
    <s v="發財貿易股份有限公司"/>
    <n v="1543"/>
    <x v="0"/>
    <n v="0"/>
    <n v="77"/>
    <x v="1"/>
    <n v="23"/>
    <n v="1620"/>
  </r>
  <r>
    <s v="PN111734"/>
    <x v="3"/>
    <d v="2020-07-11T00:00:00"/>
    <s v="發財貿易股份有限公司"/>
    <n v="6698"/>
    <x v="0"/>
    <n v="120"/>
    <n v="341"/>
    <x v="0"/>
    <n v="201"/>
    <n v="7039"/>
  </r>
  <r>
    <s v="PN111750"/>
    <x v="0"/>
    <d v="2020-07-12T00:00:00"/>
    <s v="喜悅傳播事業"/>
    <n v="3126"/>
    <x v="4"/>
    <n v="56"/>
    <n v="159"/>
    <x v="0"/>
    <n v="63"/>
    <n v="3285"/>
  </r>
  <r>
    <s v="PN111824"/>
    <x v="6"/>
    <d v="2020-07-15T00:00:00"/>
    <s v="快捷食品股份有限公司"/>
    <n v="277"/>
    <x v="0"/>
    <n v="5"/>
    <n v="14"/>
    <x v="3"/>
    <n v="0"/>
    <n v="291"/>
  </r>
  <r>
    <s v="PN111838"/>
    <x v="0"/>
    <d v="2020-07-15T00:00:00"/>
    <s v="天天電腦資訊公司"/>
    <n v="2040"/>
    <x v="0"/>
    <n v="36"/>
    <n v="104"/>
    <x v="0"/>
    <n v="41"/>
    <n v="2144"/>
  </r>
  <r>
    <s v="PN111856"/>
    <x v="4"/>
    <d v="2020-07-17T00:00:00"/>
    <s v="發財貿易股份有限公司"/>
    <n v="1500"/>
    <x v="3"/>
    <n v="27"/>
    <n v="76"/>
    <x v="0"/>
    <n v="23"/>
    <n v="1576"/>
  </r>
  <r>
    <s v="PN111859"/>
    <x v="2"/>
    <d v="2020-07-19T00:00:00"/>
    <s v="發財貿易股份有限公司"/>
    <n v="5458"/>
    <x v="4"/>
    <n v="0"/>
    <n v="273"/>
    <x v="3"/>
    <n v="136"/>
    <n v="5731"/>
  </r>
  <r>
    <s v="PN111865"/>
    <x v="4"/>
    <d v="2020-07-19T00:00:00"/>
    <s v="百合百貨股份有限公司"/>
    <n v="1699"/>
    <x v="3"/>
    <n v="30"/>
    <n v="86"/>
    <x v="0"/>
    <n v="25"/>
    <n v="1785"/>
  </r>
  <r>
    <s v="PN111924"/>
    <x v="3"/>
    <d v="2020-07-21T00:00:00"/>
    <s v="發財貿易股份有限公司"/>
    <n v="2581"/>
    <x v="3"/>
    <n v="51"/>
    <n v="132"/>
    <x v="3"/>
    <n v="52"/>
    <n v="2713"/>
  </r>
  <r>
    <s v="PN111949"/>
    <x v="5"/>
    <d v="2020-07-22T00:00:00"/>
    <s v="快捷食品股份有限公司"/>
    <n v="5474"/>
    <x v="3"/>
    <n v="164"/>
    <n v="282"/>
    <x v="2"/>
    <n v="137"/>
    <n v="5756"/>
  </r>
  <r>
    <s v="PN111955"/>
    <x v="4"/>
    <d v="2020-07-25T00:00:00"/>
    <s v="發財貿易股份有限公司"/>
    <n v="3457"/>
    <x v="1"/>
    <n v="0"/>
    <n v="173"/>
    <x v="1"/>
    <n v="69"/>
    <n v="3630"/>
  </r>
  <r>
    <s v="PN111959"/>
    <x v="4"/>
    <d v="2020-07-30T00:00:00"/>
    <s v="天天電腦資訊公司"/>
    <n v="6326"/>
    <x v="4"/>
    <n v="113"/>
    <n v="322"/>
    <x v="0"/>
    <n v="190"/>
    <n v="6648"/>
  </r>
  <r>
    <s v="PN111961"/>
    <x v="3"/>
    <d v="2020-07-31T00:00:00"/>
    <s v="百合百貨股份有限公司"/>
    <n v="2646"/>
    <x v="3"/>
    <n v="0"/>
    <n v="132"/>
    <x v="1"/>
    <n v="53"/>
    <n v="2778"/>
  </r>
  <r>
    <s v="PN112134"/>
    <x v="1"/>
    <d v="2020-08-01T00:00:00"/>
    <s v="快捷食品股份有限公司"/>
    <n v="569"/>
    <x v="1"/>
    <n v="0"/>
    <n v="28"/>
    <x v="1"/>
    <n v="0"/>
    <n v="597"/>
  </r>
  <r>
    <s v="PN112180"/>
    <x v="5"/>
    <d v="2020-08-08T00:00:00"/>
    <s v="花花花坊"/>
    <n v="496"/>
    <x v="0"/>
    <n v="0"/>
    <n v="25"/>
    <x v="1"/>
    <n v="0"/>
    <n v="521"/>
  </r>
  <r>
    <s v="PN112203"/>
    <x v="3"/>
    <d v="2020-08-13T00:00:00"/>
    <s v="發財貿易股份有限公司"/>
    <n v="572"/>
    <x v="3"/>
    <n v="0"/>
    <n v="29"/>
    <x v="1"/>
    <n v="0"/>
    <n v="601"/>
  </r>
  <r>
    <s v="PN112224"/>
    <x v="6"/>
    <d v="2020-08-13T00:00:00"/>
    <s v="發財貿易股份有限公司"/>
    <n v="6640"/>
    <x v="0"/>
    <n v="0"/>
    <n v="332"/>
    <x v="3"/>
    <n v="199"/>
    <n v="6972"/>
  </r>
  <r>
    <s v="PN112276"/>
    <x v="0"/>
    <d v="2020-08-19T00:00:00"/>
    <s v="天天電腦資訊公司"/>
    <n v="3253"/>
    <x v="4"/>
    <n v="97"/>
    <n v="168"/>
    <x v="2"/>
    <n v="65"/>
    <n v="3421"/>
  </r>
  <r>
    <s v="PN112297"/>
    <x v="4"/>
    <d v="2020-08-20T00:00:00"/>
    <s v="天天電腦資訊公司"/>
    <n v="5127"/>
    <x v="3"/>
    <n v="92"/>
    <n v="261"/>
    <x v="0"/>
    <n v="128"/>
    <n v="5388"/>
  </r>
  <r>
    <s v="PN112379"/>
    <x v="3"/>
    <d v="2020-08-21T00:00:00"/>
    <s v="百合百貨股份有限公司"/>
    <n v="5174"/>
    <x v="2"/>
    <n v="0"/>
    <n v="259"/>
    <x v="3"/>
    <n v="129"/>
    <n v="5433"/>
  </r>
  <r>
    <s v="PN112381"/>
    <x v="1"/>
    <d v="2020-09-01T00:00:00"/>
    <s v="天天電腦資訊公司"/>
    <n v="8119"/>
    <x v="0"/>
    <n v="146"/>
    <n v="413"/>
    <x v="0"/>
    <n v="284"/>
    <n v="8532"/>
  </r>
  <r>
    <s v="PN112452"/>
    <x v="4"/>
    <d v="2020-09-03T00:00:00"/>
    <s v="天天電腦資訊公司"/>
    <n v="5429"/>
    <x v="4"/>
    <n v="0"/>
    <n v="271"/>
    <x v="1"/>
    <n v="136"/>
    <n v="5700"/>
  </r>
  <r>
    <s v="PN112486"/>
    <x v="5"/>
    <d v="2020-09-08T00:00:00"/>
    <s v="喜悅傳播事業"/>
    <n v="1413"/>
    <x v="3"/>
    <n v="28"/>
    <n v="72"/>
    <x v="3"/>
    <n v="14"/>
    <n v="1485"/>
  </r>
  <r>
    <s v="PN112515"/>
    <x v="1"/>
    <d v="2020-09-08T00:00:00"/>
    <s v="喜悅傳播事業"/>
    <n v="968"/>
    <x v="0"/>
    <n v="19"/>
    <n v="49"/>
    <x v="3"/>
    <n v="0"/>
    <n v="1017"/>
  </r>
  <r>
    <s v="PN112518"/>
    <x v="3"/>
    <d v="2020-09-11T00:00:00"/>
    <s v="快捷食品股份有限公司"/>
    <n v="3897"/>
    <x v="3"/>
    <n v="116"/>
    <n v="201"/>
    <x v="2"/>
    <n v="97"/>
    <n v="4098"/>
  </r>
  <r>
    <s v="PN112529"/>
    <x v="4"/>
    <d v="2020-09-13T00:00:00"/>
    <s v="花花花坊"/>
    <n v="6284"/>
    <x v="4"/>
    <n v="188"/>
    <n v="324"/>
    <x v="2"/>
    <n v="189"/>
    <n v="6608"/>
  </r>
  <r>
    <s v="PN112543"/>
    <x v="3"/>
    <d v="2020-09-18T00:00:00"/>
    <s v="快捷食品股份有限公司"/>
    <n v="8935"/>
    <x v="1"/>
    <n v="0"/>
    <n v="447"/>
    <x v="3"/>
    <n v="313"/>
    <n v="9382"/>
  </r>
  <r>
    <s v="PN112551"/>
    <x v="5"/>
    <d v="2020-09-25T00:00:00"/>
    <s v="花花花坊"/>
    <n v="8604"/>
    <x v="4"/>
    <n v="0"/>
    <n v="430"/>
    <x v="3"/>
    <n v="301"/>
    <n v="9034"/>
  </r>
  <r>
    <s v="PN112588"/>
    <x v="4"/>
    <d v="2020-10-02T00:00:00"/>
    <s v="天天電腦資訊公司"/>
    <n v="6997"/>
    <x v="2"/>
    <n v="0"/>
    <n v="350"/>
    <x v="3"/>
    <n v="210"/>
    <n v="7347"/>
  </r>
  <r>
    <s v="PN112604"/>
    <x v="1"/>
    <d v="2020-10-07T00:00:00"/>
    <s v="發財貿易股份有限公司"/>
    <n v="9306"/>
    <x v="3"/>
    <n v="0"/>
    <n v="465"/>
    <x v="1"/>
    <n v="326"/>
    <n v="9771"/>
  </r>
  <r>
    <s v="PN112694"/>
    <x v="0"/>
    <d v="2020-10-07T00:00:00"/>
    <s v="花花花坊"/>
    <n v="714"/>
    <x v="3"/>
    <n v="14"/>
    <n v="36"/>
    <x v="3"/>
    <n v="0"/>
    <n v="750"/>
  </r>
  <r>
    <s v="PN112746"/>
    <x v="6"/>
    <d v="2020-10-07T00:00:00"/>
    <s v="發財貿易股份有限公司"/>
    <n v="3972"/>
    <x v="3"/>
    <n v="0"/>
    <n v="199"/>
    <x v="3"/>
    <n v="99"/>
    <n v="4171"/>
  </r>
  <r>
    <s v="PN112759"/>
    <x v="3"/>
    <d v="2020-10-11T00:00:00"/>
    <s v="喜悅傳播事業"/>
    <n v="6644"/>
    <x v="0"/>
    <n v="199"/>
    <n v="342"/>
    <x v="2"/>
    <n v="199"/>
    <n v="6986"/>
  </r>
  <r>
    <s v="PN112775"/>
    <x v="1"/>
    <d v="2020-10-13T00:00:00"/>
    <s v="快捷食品股份有限公司"/>
    <n v="51"/>
    <x v="0"/>
    <n v="0"/>
    <n v="3"/>
    <x v="1"/>
    <n v="0"/>
    <n v="54"/>
  </r>
  <r>
    <s v="PN112780"/>
    <x v="0"/>
    <d v="2020-10-13T00:00:00"/>
    <s v="喜悅傳播事業"/>
    <n v="5090"/>
    <x v="1"/>
    <n v="152"/>
    <n v="262"/>
    <x v="2"/>
    <n v="127"/>
    <n v="5352"/>
  </r>
  <r>
    <s v="PN112835"/>
    <x v="6"/>
    <d v="2020-10-13T00:00:00"/>
    <s v="快捷食品股份有限公司"/>
    <n v="6155"/>
    <x v="1"/>
    <n v="0"/>
    <n v="308"/>
    <x v="3"/>
    <n v="185"/>
    <n v="6463"/>
  </r>
  <r>
    <s v="PN112877"/>
    <x v="1"/>
    <d v="2020-10-15T00:00:00"/>
    <s v="快捷食品股份有限公司"/>
    <n v="2568"/>
    <x v="3"/>
    <n v="0"/>
    <n v="128"/>
    <x v="1"/>
    <n v="51"/>
    <n v="2696"/>
  </r>
  <r>
    <s v="PN112886"/>
    <x v="4"/>
    <d v="2020-10-16T00:00:00"/>
    <s v="發財貿易股份有限公司"/>
    <n v="6960"/>
    <x v="1"/>
    <n v="208"/>
    <n v="358"/>
    <x v="2"/>
    <n v="209"/>
    <n v="7318"/>
  </r>
  <r>
    <s v="PN112913"/>
    <x v="3"/>
    <d v="2020-10-17T00:00:00"/>
    <s v="天天電腦資訊公司"/>
    <n v="5242"/>
    <x v="1"/>
    <n v="0"/>
    <n v="262"/>
    <x v="1"/>
    <n v="131"/>
    <n v="5504"/>
  </r>
  <r>
    <s v="PN112953"/>
    <x v="0"/>
    <d v="2020-10-21T00:00:00"/>
    <s v="天天電腦資訊公司"/>
    <n v="2504"/>
    <x v="0"/>
    <n v="75"/>
    <n v="129"/>
    <x v="2"/>
    <n v="50"/>
    <n v="2633"/>
  </r>
  <r>
    <s v="PN112955"/>
    <x v="5"/>
    <d v="2020-10-27T00:00:00"/>
    <s v="喜悅傳播事業"/>
    <n v="2930"/>
    <x v="0"/>
    <n v="58"/>
    <n v="149"/>
    <x v="3"/>
    <n v="59"/>
    <n v="3079"/>
  </r>
  <r>
    <s v="PN112998"/>
    <x v="5"/>
    <d v="2020-10-28T00:00:00"/>
    <s v="喜悅傳播事業"/>
    <n v="4745"/>
    <x v="0"/>
    <n v="85"/>
    <n v="242"/>
    <x v="0"/>
    <n v="119"/>
    <n v="4987"/>
  </r>
  <r>
    <s v="PN113113"/>
    <x v="5"/>
    <d v="2020-11-04T00:00:00"/>
    <s v="花花花坊"/>
    <n v="4799"/>
    <x v="3"/>
    <n v="0"/>
    <n v="240"/>
    <x v="3"/>
    <n v="120"/>
    <n v="5039"/>
  </r>
  <r>
    <s v="PN113114"/>
    <x v="4"/>
    <d v="2020-11-10T00:00:00"/>
    <s v="發財貿易股份有限公司"/>
    <n v="7802"/>
    <x v="4"/>
    <n v="0"/>
    <n v="390"/>
    <x v="1"/>
    <n v="234"/>
    <n v="8192"/>
  </r>
  <r>
    <s v="PN113115"/>
    <x v="4"/>
    <d v="2020-11-12T00:00:00"/>
    <s v="花花花坊"/>
    <n v="5991"/>
    <x v="2"/>
    <n v="0"/>
    <n v="300"/>
    <x v="3"/>
    <n v="150"/>
    <n v="6291"/>
  </r>
  <r>
    <s v="PN113163"/>
    <x v="4"/>
    <d v="2020-11-13T00:00:00"/>
    <s v="發財貿易股份有限公司"/>
    <n v="6227"/>
    <x v="4"/>
    <n v="0"/>
    <n v="311"/>
    <x v="3"/>
    <n v="187"/>
    <n v="6538"/>
  </r>
  <r>
    <s v="PN113179"/>
    <x v="2"/>
    <d v="2020-11-14T00:00:00"/>
    <s v="發財貿易股份有限公司"/>
    <n v="8847"/>
    <x v="3"/>
    <n v="159"/>
    <n v="450"/>
    <x v="0"/>
    <n v="310"/>
    <n v="9297"/>
  </r>
  <r>
    <s v="PN113197"/>
    <x v="6"/>
    <d v="2020-11-15T00:00:00"/>
    <s v="發財貿易股份有限公司"/>
    <n v="8286"/>
    <x v="3"/>
    <n v="0"/>
    <n v="414"/>
    <x v="3"/>
    <n v="290"/>
    <n v="8700"/>
  </r>
  <r>
    <s v="PN113201"/>
    <x v="4"/>
    <d v="2020-11-16T00:00:00"/>
    <s v="天天電腦資訊公司"/>
    <n v="7459"/>
    <x v="1"/>
    <n v="134"/>
    <n v="380"/>
    <x v="0"/>
    <n v="224"/>
    <n v="7839"/>
  </r>
  <r>
    <s v="PN113229"/>
    <x v="0"/>
    <d v="2020-11-23T00:00:00"/>
    <s v="百合百貨股份有限公司"/>
    <n v="983"/>
    <x v="3"/>
    <n v="29"/>
    <n v="49"/>
    <x v="2"/>
    <n v="0"/>
    <n v="1032"/>
  </r>
  <r>
    <s v="PN113286"/>
    <x v="3"/>
    <d v="2020-11-26T00:00:00"/>
    <s v="花花花坊"/>
    <n v="2439"/>
    <x v="0"/>
    <n v="0"/>
    <n v="122"/>
    <x v="1"/>
    <n v="49"/>
    <n v="2561"/>
  </r>
  <r>
    <s v="PN113294"/>
    <x v="5"/>
    <d v="2020-12-01T00:00:00"/>
    <s v="快捷食品股份有限公司"/>
    <n v="8246"/>
    <x v="2"/>
    <n v="148"/>
    <n v="420"/>
    <x v="0"/>
    <n v="289"/>
    <n v="8666"/>
  </r>
  <r>
    <s v="PN113321"/>
    <x v="1"/>
    <d v="2020-12-02T00:00:00"/>
    <s v="花花花坊"/>
    <n v="2462"/>
    <x v="1"/>
    <n v="49"/>
    <n v="126"/>
    <x v="3"/>
    <n v="49"/>
    <n v="2588"/>
  </r>
  <r>
    <s v="PN113377"/>
    <x v="6"/>
    <d v="2020-12-04T00:00:00"/>
    <s v="天天電腦資訊公司"/>
    <n v="9035"/>
    <x v="2"/>
    <n v="0"/>
    <n v="452"/>
    <x v="1"/>
    <n v="316"/>
    <n v="9487"/>
  </r>
  <r>
    <s v="PN113413"/>
    <x v="4"/>
    <d v="2020-12-05T00:00:00"/>
    <s v="花花花坊"/>
    <n v="6454"/>
    <x v="0"/>
    <n v="0"/>
    <n v="323"/>
    <x v="3"/>
    <n v="194"/>
    <n v="6777"/>
  </r>
  <r>
    <s v="PN113471"/>
    <x v="3"/>
    <d v="2020-12-07T00:00:00"/>
    <s v="發財貿易股份有限公司"/>
    <n v="2580"/>
    <x v="3"/>
    <n v="51"/>
    <n v="132"/>
    <x v="3"/>
    <n v="52"/>
    <n v="2712"/>
  </r>
  <r>
    <s v="PN113492"/>
    <x v="2"/>
    <d v="2020-12-08T00:00:00"/>
    <s v="發財貿易股份有限公司"/>
    <n v="7422"/>
    <x v="3"/>
    <n v="0"/>
    <n v="371"/>
    <x v="3"/>
    <n v="223"/>
    <n v="7793"/>
  </r>
  <r>
    <s v="PN113511"/>
    <x v="3"/>
    <d v="2020-12-08T00:00:00"/>
    <s v="花花花坊"/>
    <n v="5330"/>
    <x v="3"/>
    <n v="159"/>
    <n v="274"/>
    <x v="2"/>
    <n v="133"/>
    <n v="5604"/>
  </r>
  <r>
    <s v="PN113529"/>
    <x v="3"/>
    <d v="2020-12-09T00:00:00"/>
    <s v="發財貿易股份有限公司"/>
    <n v="6349"/>
    <x v="0"/>
    <n v="190"/>
    <n v="327"/>
    <x v="2"/>
    <n v="190"/>
    <n v="6676"/>
  </r>
  <r>
    <s v="PN113595"/>
    <x v="3"/>
    <d v="2020-12-10T00:00:00"/>
    <s v="喜悅傳播事業"/>
    <n v="7844"/>
    <x v="2"/>
    <n v="0"/>
    <n v="392"/>
    <x v="3"/>
    <n v="235"/>
    <n v="8236"/>
  </r>
  <r>
    <s v="PN113633"/>
    <x v="2"/>
    <d v="2020-12-14T00:00:00"/>
    <s v="花花花坊"/>
    <n v="6428"/>
    <x v="0"/>
    <n v="0"/>
    <n v="321"/>
    <x v="1"/>
    <n v="193"/>
    <n v="6749"/>
  </r>
  <r>
    <s v="PN113680"/>
    <x v="6"/>
    <d v="2020-12-16T00:00:00"/>
    <s v="百合百貨股份有限公司"/>
    <n v="6102"/>
    <x v="1"/>
    <n v="109"/>
    <n v="311"/>
    <x v="0"/>
    <n v="183"/>
    <n v="6413"/>
  </r>
  <r>
    <s v="PN113681"/>
    <x v="4"/>
    <d v="2020-12-18T00:00:00"/>
    <s v="快捷食品股份有限公司"/>
    <n v="986"/>
    <x v="0"/>
    <n v="17"/>
    <n v="50"/>
    <x v="0"/>
    <n v="0"/>
    <n v="1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50489-82DD-4A77-9FC9-0BD9943D4041}" name="樞紐分析表8" cacheId="1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B3:D11" firstHeaderRow="0" firstDataRow="1" firstDataCol="1"/>
  <pivotFields count="11">
    <pivotField compact="0" outline="0" showAll="0"/>
    <pivotField axis="axisRow" dataField="1" compact="0" outline="0" showAll="0">
      <items count="8">
        <item x="5"/>
        <item x="2"/>
        <item x="0"/>
        <item x="3"/>
        <item x="1"/>
        <item x="4"/>
        <item x="6"/>
        <item t="default"/>
      </items>
    </pivotField>
    <pivotField compact="0" numFmtId="14" outline="0" showAll="0"/>
    <pivotField compact="0" outline="0" showAll="0"/>
    <pivotField compact="0" numFmtId="180" outline="0" showAll="0"/>
    <pivotField compact="0" outline="0" showAll="0"/>
    <pivotField compact="0" numFmtId="180" outline="0" showAll="0"/>
    <pivotField compact="0" numFmtId="180" outline="0" showAll="0"/>
    <pivotField compact="0" outline="0" showAll="0"/>
    <pivotField dataField="1" compact="0" outline="0" showAll="0"/>
    <pivotField compact="0" numFmtId="18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交易筆數" fld="1" subtotal="count" baseField="0" baseItem="0"/>
    <dataField name="總獎金" fld="9" baseField="1" baseItem="1" numFmtId="181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4"/>
  <sheetViews>
    <sheetView tabSelected="1" workbookViewId="0"/>
  </sheetViews>
  <sheetFormatPr defaultRowHeight="15"/>
  <cols>
    <col min="1" max="1" width="2.75" style="22" customWidth="1"/>
    <col min="2" max="2" width="11.25" style="22" bestFit="1" customWidth="1"/>
    <col min="3" max="3" width="7.375" style="22" bestFit="1" customWidth="1"/>
    <col min="4" max="4" width="12.5" style="22" bestFit="1" customWidth="1"/>
    <col min="5" max="5" width="13.25" style="22" bestFit="1" customWidth="1"/>
    <col min="6" max="6" width="10.5" style="22" bestFit="1" customWidth="1"/>
    <col min="7" max="7" width="10.75" style="22" bestFit="1" customWidth="1"/>
    <col min="8" max="8" width="7.875" style="22" customWidth="1"/>
    <col min="9" max="9" width="6.875" style="22" bestFit="1" customWidth="1"/>
    <col min="10" max="10" width="10.5" style="22" bestFit="1" customWidth="1"/>
    <col min="11" max="11" width="6.875" style="22" bestFit="1" customWidth="1"/>
    <col min="12" max="12" width="12.625" style="22" bestFit="1" customWidth="1"/>
    <col min="13" max="14" width="5" style="23" customWidth="1"/>
    <col min="15" max="15" width="14.375" style="23" customWidth="1"/>
    <col min="16" max="16" width="9" style="23"/>
    <col min="17" max="17" width="8.375" style="23" bestFit="1" customWidth="1"/>
    <col min="18" max="18" width="15.375" style="23" bestFit="1" customWidth="1"/>
    <col min="19" max="16384" width="9" style="22"/>
  </cols>
  <sheetData>
    <row r="1" spans="1:18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4"/>
      <c r="N1" s="24"/>
      <c r="O1" s="24"/>
      <c r="P1" s="24"/>
      <c r="Q1" s="24"/>
      <c r="R1" s="24"/>
    </row>
    <row r="2" spans="1:18">
      <c r="B2" s="6" t="s">
        <v>0</v>
      </c>
      <c r="C2" s="7" t="s">
        <v>1</v>
      </c>
      <c r="D2" s="8" t="s">
        <v>2</v>
      </c>
      <c r="E2" s="6" t="s">
        <v>3</v>
      </c>
      <c r="F2" s="9" t="s">
        <v>4</v>
      </c>
      <c r="G2" s="10" t="s">
        <v>5</v>
      </c>
      <c r="H2" s="11" t="s">
        <v>445</v>
      </c>
      <c r="I2" s="11" t="s">
        <v>6</v>
      </c>
      <c r="J2" s="12" t="s">
        <v>7</v>
      </c>
      <c r="K2" s="12" t="s">
        <v>432</v>
      </c>
      <c r="L2" s="12" t="s">
        <v>431</v>
      </c>
      <c r="M2" s="24"/>
      <c r="N2" s="24"/>
      <c r="O2" s="31" t="s">
        <v>454</v>
      </c>
      <c r="P2" s="31" t="s">
        <v>449</v>
      </c>
      <c r="Q2" s="32" t="s">
        <v>433</v>
      </c>
      <c r="R2" s="32" t="s">
        <v>444</v>
      </c>
    </row>
    <row r="3" spans="1:18">
      <c r="B3" s="13" t="s">
        <v>21</v>
      </c>
      <c r="C3" s="14" t="s">
        <v>9</v>
      </c>
      <c r="D3" s="15">
        <v>43102</v>
      </c>
      <c r="E3" s="16" t="s">
        <v>450</v>
      </c>
      <c r="F3" s="26">
        <v>3477</v>
      </c>
      <c r="G3" s="17" t="s">
        <v>12</v>
      </c>
      <c r="H3" s="26">
        <v>62</v>
      </c>
      <c r="I3" s="26">
        <f t="shared" ref="I3:I66" si="0">ROUND((F3+H3)*0.05,0)</f>
        <v>177</v>
      </c>
      <c r="J3" s="18" t="s">
        <v>435</v>
      </c>
      <c r="K3" s="27">
        <f t="shared" ref="K3:K66" si="1">ROUND(VLOOKUP(F3,獎金比例對照表,2,TRUE)*F3,0)</f>
        <v>70</v>
      </c>
      <c r="L3" s="28">
        <f t="shared" ref="L3:L66" si="2">F3+I3</f>
        <v>3654</v>
      </c>
      <c r="O3" s="33" t="s">
        <v>438</v>
      </c>
      <c r="P3" s="34">
        <v>38</v>
      </c>
      <c r="Q3" s="36">
        <v>9601</v>
      </c>
      <c r="R3" s="36"/>
    </row>
    <row r="4" spans="1:18">
      <c r="B4" s="13" t="s">
        <v>22</v>
      </c>
      <c r="C4" s="14" t="s">
        <v>16</v>
      </c>
      <c r="D4" s="15">
        <v>43108</v>
      </c>
      <c r="E4" s="16" t="s">
        <v>18</v>
      </c>
      <c r="F4" s="26">
        <v>6159</v>
      </c>
      <c r="G4" s="17" t="s">
        <v>397</v>
      </c>
      <c r="H4" s="26">
        <v>110</v>
      </c>
      <c r="I4" s="26">
        <f t="shared" si="0"/>
        <v>313</v>
      </c>
      <c r="J4" s="18" t="s">
        <v>435</v>
      </c>
      <c r="K4" s="27">
        <f t="shared" si="1"/>
        <v>185</v>
      </c>
      <c r="L4" s="28">
        <f t="shared" si="2"/>
        <v>6472</v>
      </c>
      <c r="O4" s="33" t="s">
        <v>441</v>
      </c>
      <c r="P4" s="34">
        <v>28</v>
      </c>
      <c r="Q4" s="36">
        <v>6109</v>
      </c>
      <c r="R4" s="36">
        <v>4582</v>
      </c>
    </row>
    <row r="5" spans="1:18">
      <c r="B5" s="13" t="s">
        <v>23</v>
      </c>
      <c r="C5" s="14" t="s">
        <v>9</v>
      </c>
      <c r="D5" s="15">
        <v>43108</v>
      </c>
      <c r="E5" s="16" t="s">
        <v>10</v>
      </c>
      <c r="F5" s="26">
        <v>7451</v>
      </c>
      <c r="G5" s="17" t="s">
        <v>397</v>
      </c>
      <c r="H5" s="26">
        <v>0</v>
      </c>
      <c r="I5" s="26">
        <f t="shared" si="0"/>
        <v>373</v>
      </c>
      <c r="J5" s="18" t="s">
        <v>434</v>
      </c>
      <c r="K5" s="27">
        <f t="shared" si="1"/>
        <v>224</v>
      </c>
      <c r="L5" s="28">
        <f t="shared" si="2"/>
        <v>7824</v>
      </c>
      <c r="O5" s="33" t="s">
        <v>429</v>
      </c>
      <c r="P5" s="34">
        <v>27</v>
      </c>
      <c r="Q5" s="36">
        <v>6651</v>
      </c>
      <c r="R5" s="36"/>
    </row>
    <row r="6" spans="1:18">
      <c r="B6" s="13" t="s">
        <v>24</v>
      </c>
      <c r="C6" s="14" t="s">
        <v>16</v>
      </c>
      <c r="D6" s="15">
        <v>43112</v>
      </c>
      <c r="E6" s="16" t="s">
        <v>451</v>
      </c>
      <c r="F6" s="26">
        <v>6933</v>
      </c>
      <c r="G6" s="17" t="s">
        <v>396</v>
      </c>
      <c r="H6" s="26">
        <v>207</v>
      </c>
      <c r="I6" s="26">
        <f t="shared" si="0"/>
        <v>357</v>
      </c>
      <c r="J6" s="18" t="s">
        <v>13</v>
      </c>
      <c r="K6" s="27">
        <f t="shared" si="1"/>
        <v>208</v>
      </c>
      <c r="L6" s="28">
        <f t="shared" si="2"/>
        <v>7290</v>
      </c>
      <c r="O6" s="33" t="s">
        <v>436</v>
      </c>
      <c r="P6" s="34">
        <v>23</v>
      </c>
      <c r="Q6" s="36">
        <v>6265</v>
      </c>
      <c r="R6" s="36"/>
    </row>
    <row r="7" spans="1:18">
      <c r="B7" s="13" t="s">
        <v>25</v>
      </c>
      <c r="C7" s="14" t="s">
        <v>9</v>
      </c>
      <c r="D7" s="15">
        <v>43113</v>
      </c>
      <c r="E7" s="16" t="s">
        <v>450</v>
      </c>
      <c r="F7" s="26">
        <v>8440</v>
      </c>
      <c r="G7" s="17" t="s">
        <v>11</v>
      </c>
      <c r="H7" s="26">
        <v>151</v>
      </c>
      <c r="I7" s="26">
        <f t="shared" si="0"/>
        <v>430</v>
      </c>
      <c r="J7" s="18" t="s">
        <v>435</v>
      </c>
      <c r="K7" s="27">
        <f t="shared" si="1"/>
        <v>295</v>
      </c>
      <c r="L7" s="28">
        <f t="shared" si="2"/>
        <v>8870</v>
      </c>
      <c r="O7" s="35" t="s">
        <v>440</v>
      </c>
      <c r="P7" s="37">
        <v>9</v>
      </c>
      <c r="Q7" s="36">
        <v>2556</v>
      </c>
      <c r="R7" s="36"/>
    </row>
    <row r="8" spans="1:18">
      <c r="B8" s="13" t="s">
        <v>26</v>
      </c>
      <c r="C8" s="14" t="s">
        <v>16</v>
      </c>
      <c r="D8" s="15">
        <v>43115</v>
      </c>
      <c r="E8" s="16" t="s">
        <v>451</v>
      </c>
      <c r="F8" s="26">
        <v>1904</v>
      </c>
      <c r="G8" s="17" t="s">
        <v>12</v>
      </c>
      <c r="H8" s="26">
        <v>38</v>
      </c>
      <c r="I8" s="26">
        <f t="shared" si="0"/>
        <v>97</v>
      </c>
      <c r="J8" s="18" t="s">
        <v>439</v>
      </c>
      <c r="K8" s="27">
        <f t="shared" si="1"/>
        <v>29</v>
      </c>
      <c r="L8" s="28">
        <f t="shared" si="2"/>
        <v>2001</v>
      </c>
      <c r="O8" s="33" t="s">
        <v>442</v>
      </c>
      <c r="P8" s="34">
        <v>12</v>
      </c>
      <c r="Q8" s="36">
        <v>2205</v>
      </c>
      <c r="R8" s="36"/>
    </row>
    <row r="9" spans="1:18">
      <c r="B9" s="13" t="s">
        <v>27</v>
      </c>
      <c r="C9" s="14" t="s">
        <v>15</v>
      </c>
      <c r="D9" s="15">
        <v>43116</v>
      </c>
      <c r="E9" s="16" t="s">
        <v>10</v>
      </c>
      <c r="F9" s="26">
        <v>1687</v>
      </c>
      <c r="G9" s="17" t="s">
        <v>397</v>
      </c>
      <c r="H9" s="26">
        <v>33</v>
      </c>
      <c r="I9" s="26">
        <f t="shared" si="0"/>
        <v>86</v>
      </c>
      <c r="J9" s="18" t="s">
        <v>439</v>
      </c>
      <c r="K9" s="27">
        <f t="shared" si="1"/>
        <v>25</v>
      </c>
      <c r="L9" s="28">
        <f t="shared" si="2"/>
        <v>1773</v>
      </c>
      <c r="O9" s="33" t="s">
        <v>430</v>
      </c>
      <c r="P9" s="34">
        <v>6</v>
      </c>
      <c r="Q9" s="36">
        <v>1696</v>
      </c>
      <c r="R9" s="36"/>
    </row>
    <row r="10" spans="1:18">
      <c r="B10" s="13" t="s">
        <v>28</v>
      </c>
      <c r="C10" s="19" t="s">
        <v>20</v>
      </c>
      <c r="D10" s="15">
        <v>43121</v>
      </c>
      <c r="E10" s="16" t="s">
        <v>450</v>
      </c>
      <c r="F10" s="26">
        <v>1747</v>
      </c>
      <c r="G10" s="17" t="s">
        <v>399</v>
      </c>
      <c r="H10" s="26">
        <v>0</v>
      </c>
      <c r="I10" s="26">
        <f t="shared" si="0"/>
        <v>87</v>
      </c>
      <c r="J10" s="18" t="s">
        <v>434</v>
      </c>
      <c r="K10" s="27">
        <f t="shared" si="1"/>
        <v>26</v>
      </c>
      <c r="L10" s="28">
        <f t="shared" si="2"/>
        <v>1834</v>
      </c>
      <c r="O10" s="35" t="s">
        <v>437</v>
      </c>
      <c r="P10" s="37">
        <v>6</v>
      </c>
      <c r="Q10" s="36">
        <v>1309</v>
      </c>
      <c r="R10" s="36"/>
    </row>
    <row r="11" spans="1:18">
      <c r="B11" s="13" t="s">
        <v>29</v>
      </c>
      <c r="C11" s="19" t="s">
        <v>20</v>
      </c>
      <c r="D11" s="15">
        <v>43126</v>
      </c>
      <c r="E11" s="16" t="s">
        <v>10</v>
      </c>
      <c r="F11" s="26">
        <v>3688</v>
      </c>
      <c r="G11" s="17" t="s">
        <v>12</v>
      </c>
      <c r="H11" s="26">
        <v>0</v>
      </c>
      <c r="I11" s="26">
        <f t="shared" si="0"/>
        <v>184</v>
      </c>
      <c r="J11" s="18" t="s">
        <v>434</v>
      </c>
      <c r="K11" s="27">
        <f t="shared" si="1"/>
        <v>92</v>
      </c>
      <c r="L11" s="28">
        <f t="shared" si="2"/>
        <v>3872</v>
      </c>
    </row>
    <row r="12" spans="1:18">
      <c r="B12" s="13" t="s">
        <v>30</v>
      </c>
      <c r="C12" s="19" t="s">
        <v>20</v>
      </c>
      <c r="D12" s="15">
        <v>43128</v>
      </c>
      <c r="E12" s="16" t="s">
        <v>10</v>
      </c>
      <c r="F12" s="26">
        <v>8277</v>
      </c>
      <c r="G12" s="17" t="s">
        <v>11</v>
      </c>
      <c r="H12" s="26">
        <v>148</v>
      </c>
      <c r="I12" s="26">
        <f t="shared" si="0"/>
        <v>421</v>
      </c>
      <c r="J12" s="18" t="s">
        <v>435</v>
      </c>
      <c r="K12" s="27">
        <f t="shared" si="1"/>
        <v>290</v>
      </c>
      <c r="L12" s="28">
        <f t="shared" si="2"/>
        <v>8698</v>
      </c>
    </row>
    <row r="13" spans="1:18">
      <c r="B13" s="13" t="s">
        <v>31</v>
      </c>
      <c r="C13" s="14" t="s">
        <v>19</v>
      </c>
      <c r="D13" s="15">
        <v>43128</v>
      </c>
      <c r="E13" s="16" t="s">
        <v>10</v>
      </c>
      <c r="F13" s="26">
        <v>437</v>
      </c>
      <c r="G13" s="17" t="s">
        <v>11</v>
      </c>
      <c r="H13" s="26">
        <v>7</v>
      </c>
      <c r="I13" s="26">
        <f t="shared" si="0"/>
        <v>22</v>
      </c>
      <c r="J13" s="18" t="s">
        <v>435</v>
      </c>
      <c r="K13" s="27">
        <f t="shared" si="1"/>
        <v>0</v>
      </c>
      <c r="L13" s="28">
        <f t="shared" si="2"/>
        <v>459</v>
      </c>
    </row>
    <row r="14" spans="1:18">
      <c r="B14" s="13" t="s">
        <v>32</v>
      </c>
      <c r="C14" s="14" t="s">
        <v>19</v>
      </c>
      <c r="D14" s="15">
        <v>43131</v>
      </c>
      <c r="E14" s="16" t="s">
        <v>453</v>
      </c>
      <c r="F14" s="26">
        <v>6985</v>
      </c>
      <c r="G14" s="17" t="s">
        <v>397</v>
      </c>
      <c r="H14" s="26">
        <v>0</v>
      </c>
      <c r="I14" s="26">
        <f t="shared" si="0"/>
        <v>349</v>
      </c>
      <c r="J14" s="18" t="s">
        <v>439</v>
      </c>
      <c r="K14" s="27">
        <f t="shared" si="1"/>
        <v>210</v>
      </c>
      <c r="L14" s="28">
        <f t="shared" si="2"/>
        <v>7334</v>
      </c>
    </row>
    <row r="15" spans="1:18">
      <c r="B15" s="13" t="s">
        <v>33</v>
      </c>
      <c r="C15" s="14" t="s">
        <v>17</v>
      </c>
      <c r="D15" s="15">
        <v>43132</v>
      </c>
      <c r="E15" s="16" t="s">
        <v>450</v>
      </c>
      <c r="F15" s="26">
        <v>4406</v>
      </c>
      <c r="G15" s="17" t="s">
        <v>12</v>
      </c>
      <c r="H15" s="26">
        <v>132</v>
      </c>
      <c r="I15" s="26">
        <f t="shared" si="0"/>
        <v>227</v>
      </c>
      <c r="J15" s="18" t="s">
        <v>13</v>
      </c>
      <c r="K15" s="27">
        <f t="shared" si="1"/>
        <v>110</v>
      </c>
      <c r="L15" s="28">
        <f t="shared" si="2"/>
        <v>4633</v>
      </c>
    </row>
    <row r="16" spans="1:18">
      <c r="B16" s="13" t="s">
        <v>34</v>
      </c>
      <c r="C16" s="16" t="s">
        <v>14</v>
      </c>
      <c r="D16" s="15">
        <v>43140</v>
      </c>
      <c r="E16" s="16" t="s">
        <v>452</v>
      </c>
      <c r="F16" s="26">
        <v>3660</v>
      </c>
      <c r="G16" s="17" t="s">
        <v>12</v>
      </c>
      <c r="H16" s="26">
        <v>109</v>
      </c>
      <c r="I16" s="26">
        <f t="shared" si="0"/>
        <v>188</v>
      </c>
      <c r="J16" s="18" t="s">
        <v>13</v>
      </c>
      <c r="K16" s="27">
        <f t="shared" si="1"/>
        <v>92</v>
      </c>
      <c r="L16" s="28">
        <f t="shared" si="2"/>
        <v>3848</v>
      </c>
    </row>
    <row r="17" spans="2:12">
      <c r="B17" s="13" t="s">
        <v>35</v>
      </c>
      <c r="C17" s="19" t="s">
        <v>20</v>
      </c>
      <c r="D17" s="15">
        <v>43143</v>
      </c>
      <c r="E17" s="16" t="s">
        <v>452</v>
      </c>
      <c r="F17" s="26">
        <v>3131</v>
      </c>
      <c r="G17" s="17" t="s">
        <v>12</v>
      </c>
      <c r="H17" s="26">
        <v>0</v>
      </c>
      <c r="I17" s="26">
        <f t="shared" si="0"/>
        <v>157</v>
      </c>
      <c r="J17" s="18" t="s">
        <v>439</v>
      </c>
      <c r="K17" s="27">
        <f t="shared" si="1"/>
        <v>63</v>
      </c>
      <c r="L17" s="28">
        <f t="shared" si="2"/>
        <v>3288</v>
      </c>
    </row>
    <row r="18" spans="2:12">
      <c r="B18" s="13" t="s">
        <v>36</v>
      </c>
      <c r="C18" s="14" t="s">
        <v>16</v>
      </c>
      <c r="D18" s="15">
        <v>43144</v>
      </c>
      <c r="E18" s="16" t="s">
        <v>18</v>
      </c>
      <c r="F18" s="26">
        <v>4030</v>
      </c>
      <c r="G18" s="17" t="s">
        <v>11</v>
      </c>
      <c r="H18" s="26">
        <v>72</v>
      </c>
      <c r="I18" s="26">
        <f t="shared" si="0"/>
        <v>205</v>
      </c>
      <c r="J18" s="18" t="s">
        <v>435</v>
      </c>
      <c r="K18" s="27">
        <f t="shared" si="1"/>
        <v>101</v>
      </c>
      <c r="L18" s="28">
        <f t="shared" si="2"/>
        <v>4235</v>
      </c>
    </row>
    <row r="19" spans="2:12">
      <c r="B19" s="13" t="s">
        <v>37</v>
      </c>
      <c r="C19" s="14" t="s">
        <v>16</v>
      </c>
      <c r="D19" s="15">
        <v>43145</v>
      </c>
      <c r="E19" s="16" t="s">
        <v>451</v>
      </c>
      <c r="F19" s="26">
        <v>6211</v>
      </c>
      <c r="G19" s="17" t="s">
        <v>12</v>
      </c>
      <c r="H19" s="26">
        <v>0</v>
      </c>
      <c r="I19" s="26">
        <f t="shared" si="0"/>
        <v>311</v>
      </c>
      <c r="J19" s="18" t="s">
        <v>439</v>
      </c>
      <c r="K19" s="27">
        <f t="shared" si="1"/>
        <v>186</v>
      </c>
      <c r="L19" s="28">
        <f t="shared" si="2"/>
        <v>6522</v>
      </c>
    </row>
    <row r="20" spans="2:12">
      <c r="B20" s="13" t="s">
        <v>38</v>
      </c>
      <c r="C20" s="14" t="s">
        <v>19</v>
      </c>
      <c r="D20" s="15">
        <v>43151</v>
      </c>
      <c r="E20" s="16" t="s">
        <v>451</v>
      </c>
      <c r="F20" s="26">
        <v>6980</v>
      </c>
      <c r="G20" s="17" t="s">
        <v>11</v>
      </c>
      <c r="H20" s="26">
        <v>209</v>
      </c>
      <c r="I20" s="26">
        <f t="shared" si="0"/>
        <v>359</v>
      </c>
      <c r="J20" s="18" t="s">
        <v>13</v>
      </c>
      <c r="K20" s="27">
        <f t="shared" si="1"/>
        <v>209</v>
      </c>
      <c r="L20" s="28">
        <f t="shared" si="2"/>
        <v>7339</v>
      </c>
    </row>
    <row r="21" spans="2:12">
      <c r="B21" s="13" t="s">
        <v>39</v>
      </c>
      <c r="C21" s="19" t="s">
        <v>20</v>
      </c>
      <c r="D21" s="15">
        <v>43162</v>
      </c>
      <c r="E21" s="16" t="s">
        <v>450</v>
      </c>
      <c r="F21" s="26">
        <v>2856</v>
      </c>
      <c r="G21" s="17" t="s">
        <v>398</v>
      </c>
      <c r="H21" s="26">
        <v>0</v>
      </c>
      <c r="I21" s="26">
        <f t="shared" si="0"/>
        <v>143</v>
      </c>
      <c r="J21" s="18" t="s">
        <v>434</v>
      </c>
      <c r="K21" s="27">
        <f t="shared" si="1"/>
        <v>57</v>
      </c>
      <c r="L21" s="28">
        <f t="shared" si="2"/>
        <v>2999</v>
      </c>
    </row>
    <row r="22" spans="2:12">
      <c r="B22" s="13" t="s">
        <v>40</v>
      </c>
      <c r="C22" s="14" t="s">
        <v>19</v>
      </c>
      <c r="D22" s="15">
        <v>43164</v>
      </c>
      <c r="E22" s="16" t="s">
        <v>452</v>
      </c>
      <c r="F22" s="26">
        <v>7089</v>
      </c>
      <c r="G22" s="17" t="s">
        <v>396</v>
      </c>
      <c r="H22" s="26">
        <v>0</v>
      </c>
      <c r="I22" s="26">
        <f t="shared" si="0"/>
        <v>354</v>
      </c>
      <c r="J22" s="18" t="s">
        <v>439</v>
      </c>
      <c r="K22" s="27">
        <f t="shared" si="1"/>
        <v>213</v>
      </c>
      <c r="L22" s="28">
        <f t="shared" si="2"/>
        <v>7443</v>
      </c>
    </row>
    <row r="23" spans="2:12">
      <c r="B23" s="13" t="s">
        <v>41</v>
      </c>
      <c r="C23" s="19" t="s">
        <v>20</v>
      </c>
      <c r="D23" s="15">
        <v>43169</v>
      </c>
      <c r="E23" s="16" t="s">
        <v>451</v>
      </c>
      <c r="F23" s="26">
        <v>5409</v>
      </c>
      <c r="G23" s="17" t="s">
        <v>12</v>
      </c>
      <c r="H23" s="26">
        <v>0</v>
      </c>
      <c r="I23" s="26">
        <f t="shared" si="0"/>
        <v>270</v>
      </c>
      <c r="J23" s="18" t="s">
        <v>439</v>
      </c>
      <c r="K23" s="27">
        <f t="shared" si="1"/>
        <v>135</v>
      </c>
      <c r="L23" s="28">
        <f t="shared" si="2"/>
        <v>5679</v>
      </c>
    </row>
    <row r="24" spans="2:12">
      <c r="B24" s="13" t="s">
        <v>42</v>
      </c>
      <c r="C24" s="14" t="s">
        <v>9</v>
      </c>
      <c r="D24" s="15">
        <v>43170</v>
      </c>
      <c r="E24" s="16" t="s">
        <v>450</v>
      </c>
      <c r="F24" s="26">
        <v>8587</v>
      </c>
      <c r="G24" s="17" t="s">
        <v>11</v>
      </c>
      <c r="H24" s="26">
        <v>154</v>
      </c>
      <c r="I24" s="26">
        <f t="shared" si="0"/>
        <v>437</v>
      </c>
      <c r="J24" s="18" t="s">
        <v>435</v>
      </c>
      <c r="K24" s="27">
        <f t="shared" si="1"/>
        <v>301</v>
      </c>
      <c r="L24" s="28">
        <f t="shared" si="2"/>
        <v>9024</v>
      </c>
    </row>
    <row r="25" spans="2:12">
      <c r="B25" s="13" t="s">
        <v>43</v>
      </c>
      <c r="C25" s="19" t="s">
        <v>20</v>
      </c>
      <c r="D25" s="15">
        <v>43173</v>
      </c>
      <c r="E25" s="16" t="s">
        <v>451</v>
      </c>
      <c r="F25" s="26">
        <v>117</v>
      </c>
      <c r="G25" s="17" t="s">
        <v>12</v>
      </c>
      <c r="H25" s="26">
        <v>0</v>
      </c>
      <c r="I25" s="26">
        <f t="shared" si="0"/>
        <v>6</v>
      </c>
      <c r="J25" s="18" t="s">
        <v>434</v>
      </c>
      <c r="K25" s="27">
        <f t="shared" si="1"/>
        <v>0</v>
      </c>
      <c r="L25" s="28">
        <f t="shared" si="2"/>
        <v>123</v>
      </c>
    </row>
    <row r="26" spans="2:12">
      <c r="B26" s="13" t="s">
        <v>44</v>
      </c>
      <c r="C26" s="14" t="s">
        <v>17</v>
      </c>
      <c r="D26" s="15">
        <v>43175</v>
      </c>
      <c r="E26" s="16" t="s">
        <v>450</v>
      </c>
      <c r="F26" s="26">
        <v>350</v>
      </c>
      <c r="G26" s="17" t="s">
        <v>397</v>
      </c>
      <c r="H26" s="26">
        <v>0</v>
      </c>
      <c r="I26" s="26">
        <f t="shared" si="0"/>
        <v>18</v>
      </c>
      <c r="J26" s="18" t="s">
        <v>434</v>
      </c>
      <c r="K26" s="27">
        <f t="shared" si="1"/>
        <v>0</v>
      </c>
      <c r="L26" s="28">
        <f t="shared" si="2"/>
        <v>368</v>
      </c>
    </row>
    <row r="27" spans="2:12">
      <c r="B27" s="13" t="s">
        <v>45</v>
      </c>
      <c r="C27" s="14" t="s">
        <v>16</v>
      </c>
      <c r="D27" s="15">
        <v>43176</v>
      </c>
      <c r="E27" s="16" t="s">
        <v>452</v>
      </c>
      <c r="F27" s="26">
        <v>410</v>
      </c>
      <c r="G27" s="17" t="s">
        <v>397</v>
      </c>
      <c r="H27" s="26">
        <v>8</v>
      </c>
      <c r="I27" s="26">
        <f t="shared" si="0"/>
        <v>21</v>
      </c>
      <c r="J27" s="18" t="s">
        <v>439</v>
      </c>
      <c r="K27" s="27">
        <f t="shared" si="1"/>
        <v>0</v>
      </c>
      <c r="L27" s="28">
        <f t="shared" si="2"/>
        <v>431</v>
      </c>
    </row>
    <row r="28" spans="2:12">
      <c r="B28" s="13" t="s">
        <v>46</v>
      </c>
      <c r="C28" s="14" t="s">
        <v>15</v>
      </c>
      <c r="D28" s="15">
        <v>43178</v>
      </c>
      <c r="E28" s="16" t="s">
        <v>450</v>
      </c>
      <c r="F28" s="26">
        <v>9564</v>
      </c>
      <c r="G28" s="17" t="s">
        <v>397</v>
      </c>
      <c r="H28" s="26">
        <v>172</v>
      </c>
      <c r="I28" s="26">
        <f t="shared" si="0"/>
        <v>487</v>
      </c>
      <c r="J28" s="18" t="s">
        <v>435</v>
      </c>
      <c r="K28" s="27">
        <f t="shared" si="1"/>
        <v>335</v>
      </c>
      <c r="L28" s="28">
        <f t="shared" si="2"/>
        <v>10051</v>
      </c>
    </row>
    <row r="29" spans="2:12">
      <c r="B29" s="13" t="s">
        <v>47</v>
      </c>
      <c r="C29" s="14" t="s">
        <v>15</v>
      </c>
      <c r="D29" s="15">
        <v>43179</v>
      </c>
      <c r="E29" s="16" t="s">
        <v>451</v>
      </c>
      <c r="F29" s="26">
        <v>3754</v>
      </c>
      <c r="G29" s="17" t="s">
        <v>11</v>
      </c>
      <c r="H29" s="26">
        <v>67</v>
      </c>
      <c r="I29" s="26">
        <f t="shared" si="0"/>
        <v>191</v>
      </c>
      <c r="J29" s="18" t="s">
        <v>435</v>
      </c>
      <c r="K29" s="27">
        <f t="shared" si="1"/>
        <v>94</v>
      </c>
      <c r="L29" s="28">
        <f t="shared" si="2"/>
        <v>3945</v>
      </c>
    </row>
    <row r="30" spans="2:12">
      <c r="B30" s="13" t="s">
        <v>48</v>
      </c>
      <c r="C30" s="14" t="s">
        <v>17</v>
      </c>
      <c r="D30" s="15">
        <v>43181</v>
      </c>
      <c r="E30" s="16" t="s">
        <v>18</v>
      </c>
      <c r="F30" s="26">
        <v>3388</v>
      </c>
      <c r="G30" s="17" t="s">
        <v>12</v>
      </c>
      <c r="H30" s="26">
        <v>101</v>
      </c>
      <c r="I30" s="26">
        <f t="shared" si="0"/>
        <v>174</v>
      </c>
      <c r="J30" s="18" t="s">
        <v>13</v>
      </c>
      <c r="K30" s="27">
        <f t="shared" si="1"/>
        <v>68</v>
      </c>
      <c r="L30" s="28">
        <f t="shared" si="2"/>
        <v>3562</v>
      </c>
    </row>
    <row r="31" spans="2:12">
      <c r="B31" s="13" t="s">
        <v>49</v>
      </c>
      <c r="C31" s="16" t="s">
        <v>14</v>
      </c>
      <c r="D31" s="15">
        <v>43183</v>
      </c>
      <c r="E31" s="16" t="s">
        <v>18</v>
      </c>
      <c r="F31" s="26">
        <v>4579</v>
      </c>
      <c r="G31" s="17" t="s">
        <v>12</v>
      </c>
      <c r="H31" s="26">
        <v>137</v>
      </c>
      <c r="I31" s="26">
        <f t="shared" si="0"/>
        <v>236</v>
      </c>
      <c r="J31" s="18" t="s">
        <v>13</v>
      </c>
      <c r="K31" s="27">
        <f t="shared" si="1"/>
        <v>114</v>
      </c>
      <c r="L31" s="28">
        <f t="shared" si="2"/>
        <v>4815</v>
      </c>
    </row>
    <row r="32" spans="2:12">
      <c r="B32" s="13" t="s">
        <v>50</v>
      </c>
      <c r="C32" s="14" t="s">
        <v>9</v>
      </c>
      <c r="D32" s="15">
        <v>43187</v>
      </c>
      <c r="E32" s="16" t="s">
        <v>453</v>
      </c>
      <c r="F32" s="26">
        <v>1345</v>
      </c>
      <c r="G32" s="17" t="s">
        <v>397</v>
      </c>
      <c r="H32" s="26">
        <v>24</v>
      </c>
      <c r="I32" s="26">
        <f t="shared" si="0"/>
        <v>68</v>
      </c>
      <c r="J32" s="18" t="s">
        <v>435</v>
      </c>
      <c r="K32" s="27">
        <f t="shared" si="1"/>
        <v>13</v>
      </c>
      <c r="L32" s="28">
        <f t="shared" si="2"/>
        <v>1413</v>
      </c>
    </row>
    <row r="33" spans="2:12">
      <c r="B33" s="13" t="s">
        <v>51</v>
      </c>
      <c r="C33" s="16" t="s">
        <v>14</v>
      </c>
      <c r="D33" s="15">
        <v>43187</v>
      </c>
      <c r="E33" s="16" t="s">
        <v>452</v>
      </c>
      <c r="F33" s="26">
        <v>1187</v>
      </c>
      <c r="G33" s="17" t="s">
        <v>12</v>
      </c>
      <c r="H33" s="26">
        <v>0</v>
      </c>
      <c r="I33" s="26">
        <f t="shared" si="0"/>
        <v>59</v>
      </c>
      <c r="J33" s="18" t="s">
        <v>434</v>
      </c>
      <c r="K33" s="27">
        <f t="shared" si="1"/>
        <v>12</v>
      </c>
      <c r="L33" s="28">
        <f t="shared" si="2"/>
        <v>1246</v>
      </c>
    </row>
    <row r="34" spans="2:12">
      <c r="B34" s="13" t="s">
        <v>52</v>
      </c>
      <c r="C34" s="19" t="s">
        <v>20</v>
      </c>
      <c r="D34" s="15">
        <v>43191</v>
      </c>
      <c r="E34" s="16" t="s">
        <v>18</v>
      </c>
      <c r="F34" s="26">
        <v>1842</v>
      </c>
      <c r="G34" s="17" t="s">
        <v>399</v>
      </c>
      <c r="H34" s="26">
        <v>55</v>
      </c>
      <c r="I34" s="26">
        <f t="shared" si="0"/>
        <v>95</v>
      </c>
      <c r="J34" s="18" t="s">
        <v>13</v>
      </c>
      <c r="K34" s="27">
        <f t="shared" si="1"/>
        <v>28</v>
      </c>
      <c r="L34" s="28">
        <f t="shared" si="2"/>
        <v>1937</v>
      </c>
    </row>
    <row r="35" spans="2:12">
      <c r="B35" s="13" t="s">
        <v>53</v>
      </c>
      <c r="C35" s="14" t="s">
        <v>17</v>
      </c>
      <c r="D35" s="15">
        <v>43191</v>
      </c>
      <c r="E35" s="16" t="s">
        <v>10</v>
      </c>
      <c r="F35" s="26">
        <v>2577</v>
      </c>
      <c r="G35" s="17" t="s">
        <v>12</v>
      </c>
      <c r="H35" s="26">
        <v>0</v>
      </c>
      <c r="I35" s="26">
        <f t="shared" si="0"/>
        <v>129</v>
      </c>
      <c r="J35" s="18" t="s">
        <v>434</v>
      </c>
      <c r="K35" s="27">
        <f t="shared" si="1"/>
        <v>52</v>
      </c>
      <c r="L35" s="28">
        <f t="shared" si="2"/>
        <v>2706</v>
      </c>
    </row>
    <row r="36" spans="2:12">
      <c r="B36" s="13" t="s">
        <v>54</v>
      </c>
      <c r="C36" s="16" t="s">
        <v>14</v>
      </c>
      <c r="D36" s="15">
        <v>43195</v>
      </c>
      <c r="E36" s="16" t="s">
        <v>10</v>
      </c>
      <c r="F36" s="26">
        <v>8279</v>
      </c>
      <c r="G36" s="17" t="s">
        <v>399</v>
      </c>
      <c r="H36" s="26">
        <v>0</v>
      </c>
      <c r="I36" s="26">
        <f t="shared" si="0"/>
        <v>414</v>
      </c>
      <c r="J36" s="18" t="s">
        <v>439</v>
      </c>
      <c r="K36" s="27">
        <f t="shared" si="1"/>
        <v>290</v>
      </c>
      <c r="L36" s="28">
        <f t="shared" si="2"/>
        <v>8693</v>
      </c>
    </row>
    <row r="37" spans="2:12">
      <c r="B37" s="13" t="s">
        <v>55</v>
      </c>
      <c r="C37" s="16" t="s">
        <v>14</v>
      </c>
      <c r="D37" s="15">
        <v>43201</v>
      </c>
      <c r="E37" s="16" t="s">
        <v>451</v>
      </c>
      <c r="F37" s="26">
        <v>9462</v>
      </c>
      <c r="G37" s="17" t="s">
        <v>397</v>
      </c>
      <c r="H37" s="26">
        <v>0</v>
      </c>
      <c r="I37" s="26">
        <f t="shared" si="0"/>
        <v>473</v>
      </c>
      <c r="J37" s="18" t="s">
        <v>434</v>
      </c>
      <c r="K37" s="27">
        <f t="shared" si="1"/>
        <v>331</v>
      </c>
      <c r="L37" s="28">
        <f t="shared" si="2"/>
        <v>9935</v>
      </c>
    </row>
    <row r="38" spans="2:12">
      <c r="B38" s="13" t="s">
        <v>56</v>
      </c>
      <c r="C38" s="14" t="s">
        <v>16</v>
      </c>
      <c r="D38" s="15">
        <v>43202</v>
      </c>
      <c r="E38" s="16" t="s">
        <v>452</v>
      </c>
      <c r="F38" s="26">
        <v>8727</v>
      </c>
      <c r="G38" s="17" t="s">
        <v>397</v>
      </c>
      <c r="H38" s="26">
        <v>157</v>
      </c>
      <c r="I38" s="26">
        <f t="shared" si="0"/>
        <v>444</v>
      </c>
      <c r="J38" s="18" t="s">
        <v>435</v>
      </c>
      <c r="K38" s="27">
        <f t="shared" si="1"/>
        <v>305</v>
      </c>
      <c r="L38" s="28">
        <f t="shared" si="2"/>
        <v>9171</v>
      </c>
    </row>
    <row r="39" spans="2:12">
      <c r="B39" s="13" t="s">
        <v>57</v>
      </c>
      <c r="C39" s="14" t="s">
        <v>19</v>
      </c>
      <c r="D39" s="15">
        <v>43206</v>
      </c>
      <c r="E39" s="16" t="s">
        <v>453</v>
      </c>
      <c r="F39" s="26">
        <v>1542</v>
      </c>
      <c r="G39" s="17" t="s">
        <v>396</v>
      </c>
      <c r="H39" s="26">
        <v>27</v>
      </c>
      <c r="I39" s="26">
        <f t="shared" si="0"/>
        <v>78</v>
      </c>
      <c r="J39" s="18" t="s">
        <v>435</v>
      </c>
      <c r="K39" s="27">
        <f t="shared" si="1"/>
        <v>23</v>
      </c>
      <c r="L39" s="28">
        <f t="shared" si="2"/>
        <v>1620</v>
      </c>
    </row>
    <row r="40" spans="2:12">
      <c r="B40" s="13" t="s">
        <v>58</v>
      </c>
      <c r="C40" s="14" t="s">
        <v>16</v>
      </c>
      <c r="D40" s="15">
        <v>43206</v>
      </c>
      <c r="E40" s="16" t="s">
        <v>18</v>
      </c>
      <c r="F40" s="26">
        <v>6860</v>
      </c>
      <c r="G40" s="17" t="s">
        <v>397</v>
      </c>
      <c r="H40" s="26">
        <v>205</v>
      </c>
      <c r="I40" s="26">
        <f t="shared" si="0"/>
        <v>353</v>
      </c>
      <c r="J40" s="18" t="s">
        <v>13</v>
      </c>
      <c r="K40" s="27">
        <f t="shared" si="1"/>
        <v>206</v>
      </c>
      <c r="L40" s="28">
        <f t="shared" si="2"/>
        <v>7213</v>
      </c>
    </row>
    <row r="41" spans="2:12">
      <c r="B41" s="13" t="s">
        <v>59</v>
      </c>
      <c r="C41" s="19" t="s">
        <v>20</v>
      </c>
      <c r="D41" s="15">
        <v>43211</v>
      </c>
      <c r="E41" s="16" t="s">
        <v>450</v>
      </c>
      <c r="F41" s="26">
        <v>1285</v>
      </c>
      <c r="G41" s="17" t="s">
        <v>11</v>
      </c>
      <c r="H41" s="26">
        <v>0</v>
      </c>
      <c r="I41" s="26">
        <f t="shared" si="0"/>
        <v>64</v>
      </c>
      <c r="J41" s="18" t="s">
        <v>434</v>
      </c>
      <c r="K41" s="27">
        <f t="shared" si="1"/>
        <v>13</v>
      </c>
      <c r="L41" s="28">
        <f t="shared" si="2"/>
        <v>1349</v>
      </c>
    </row>
    <row r="42" spans="2:12">
      <c r="B42" s="13" t="s">
        <v>60</v>
      </c>
      <c r="C42" s="14" t="s">
        <v>19</v>
      </c>
      <c r="D42" s="15">
        <v>43218</v>
      </c>
      <c r="E42" s="16" t="s">
        <v>453</v>
      </c>
      <c r="F42" s="26">
        <v>4051</v>
      </c>
      <c r="G42" s="17" t="s">
        <v>12</v>
      </c>
      <c r="H42" s="26">
        <v>0</v>
      </c>
      <c r="I42" s="26">
        <f t="shared" si="0"/>
        <v>203</v>
      </c>
      <c r="J42" s="18" t="s">
        <v>439</v>
      </c>
      <c r="K42" s="27">
        <f t="shared" si="1"/>
        <v>101</v>
      </c>
      <c r="L42" s="28">
        <f t="shared" si="2"/>
        <v>4254</v>
      </c>
    </row>
    <row r="43" spans="2:12">
      <c r="B43" s="13" t="s">
        <v>61</v>
      </c>
      <c r="C43" s="14" t="s">
        <v>17</v>
      </c>
      <c r="D43" s="15">
        <v>43221</v>
      </c>
      <c r="E43" s="16" t="s">
        <v>453</v>
      </c>
      <c r="F43" s="26">
        <v>844</v>
      </c>
      <c r="G43" s="17" t="s">
        <v>11</v>
      </c>
      <c r="H43" s="26">
        <v>25</v>
      </c>
      <c r="I43" s="26">
        <f t="shared" si="0"/>
        <v>43</v>
      </c>
      <c r="J43" s="18" t="s">
        <v>13</v>
      </c>
      <c r="K43" s="27">
        <f t="shared" si="1"/>
        <v>0</v>
      </c>
      <c r="L43" s="28">
        <f t="shared" si="2"/>
        <v>887</v>
      </c>
    </row>
    <row r="44" spans="2:12">
      <c r="B44" s="13" t="s">
        <v>62</v>
      </c>
      <c r="C44" s="14" t="s">
        <v>15</v>
      </c>
      <c r="D44" s="15">
        <v>43222</v>
      </c>
      <c r="E44" s="16" t="s">
        <v>452</v>
      </c>
      <c r="F44" s="26">
        <v>831</v>
      </c>
      <c r="G44" s="17" t="s">
        <v>12</v>
      </c>
      <c r="H44" s="26">
        <v>16</v>
      </c>
      <c r="I44" s="26">
        <f t="shared" si="0"/>
        <v>42</v>
      </c>
      <c r="J44" s="18" t="s">
        <v>439</v>
      </c>
      <c r="K44" s="27">
        <f t="shared" si="1"/>
        <v>0</v>
      </c>
      <c r="L44" s="28">
        <f t="shared" si="2"/>
        <v>873</v>
      </c>
    </row>
    <row r="45" spans="2:12">
      <c r="B45" s="13" t="s">
        <v>63</v>
      </c>
      <c r="C45" s="19" t="s">
        <v>20</v>
      </c>
      <c r="D45" s="15">
        <v>43229</v>
      </c>
      <c r="E45" s="16" t="s">
        <v>451</v>
      </c>
      <c r="F45" s="26">
        <v>7059</v>
      </c>
      <c r="G45" s="17" t="s">
        <v>11</v>
      </c>
      <c r="H45" s="26">
        <v>127</v>
      </c>
      <c r="I45" s="26">
        <f t="shared" si="0"/>
        <v>359</v>
      </c>
      <c r="J45" s="18" t="s">
        <v>435</v>
      </c>
      <c r="K45" s="27">
        <f t="shared" si="1"/>
        <v>212</v>
      </c>
      <c r="L45" s="28">
        <f t="shared" si="2"/>
        <v>7418</v>
      </c>
    </row>
    <row r="46" spans="2:12">
      <c r="B46" s="13" t="s">
        <v>64</v>
      </c>
      <c r="C46" s="14" t="s">
        <v>15</v>
      </c>
      <c r="D46" s="15">
        <v>43230</v>
      </c>
      <c r="E46" s="16" t="s">
        <v>450</v>
      </c>
      <c r="F46" s="26">
        <v>7593</v>
      </c>
      <c r="G46" s="17" t="s">
        <v>11</v>
      </c>
      <c r="H46" s="26">
        <v>136</v>
      </c>
      <c r="I46" s="26">
        <f t="shared" si="0"/>
        <v>386</v>
      </c>
      <c r="J46" s="18" t="s">
        <v>435</v>
      </c>
      <c r="K46" s="27">
        <f t="shared" si="1"/>
        <v>228</v>
      </c>
      <c r="L46" s="28">
        <f t="shared" si="2"/>
        <v>7979</v>
      </c>
    </row>
    <row r="47" spans="2:12">
      <c r="B47" s="13" t="s">
        <v>65</v>
      </c>
      <c r="C47" s="14" t="s">
        <v>15</v>
      </c>
      <c r="D47" s="15">
        <v>43231</v>
      </c>
      <c r="E47" s="16" t="s">
        <v>18</v>
      </c>
      <c r="F47" s="26">
        <v>8372</v>
      </c>
      <c r="G47" s="17" t="s">
        <v>12</v>
      </c>
      <c r="H47" s="26">
        <v>0</v>
      </c>
      <c r="I47" s="26">
        <f t="shared" si="0"/>
        <v>419</v>
      </c>
      <c r="J47" s="18" t="s">
        <v>434</v>
      </c>
      <c r="K47" s="27">
        <f t="shared" si="1"/>
        <v>293</v>
      </c>
      <c r="L47" s="28">
        <f t="shared" si="2"/>
        <v>8791</v>
      </c>
    </row>
    <row r="48" spans="2:12">
      <c r="B48" s="13" t="s">
        <v>66</v>
      </c>
      <c r="C48" s="16" t="s">
        <v>14</v>
      </c>
      <c r="D48" s="15">
        <v>43240</v>
      </c>
      <c r="E48" s="16" t="s">
        <v>18</v>
      </c>
      <c r="F48" s="26">
        <v>1210</v>
      </c>
      <c r="G48" s="17" t="s">
        <v>12</v>
      </c>
      <c r="H48" s="26">
        <v>36</v>
      </c>
      <c r="I48" s="26">
        <f t="shared" si="0"/>
        <v>62</v>
      </c>
      <c r="J48" s="18" t="s">
        <v>13</v>
      </c>
      <c r="K48" s="27">
        <f t="shared" si="1"/>
        <v>12</v>
      </c>
      <c r="L48" s="28">
        <f t="shared" si="2"/>
        <v>1272</v>
      </c>
    </row>
    <row r="49" spans="2:12">
      <c r="B49" s="13" t="s">
        <v>67</v>
      </c>
      <c r="C49" s="14" t="s">
        <v>15</v>
      </c>
      <c r="D49" s="15">
        <v>43243</v>
      </c>
      <c r="E49" s="16" t="s">
        <v>451</v>
      </c>
      <c r="F49" s="26">
        <v>6338</v>
      </c>
      <c r="G49" s="17" t="s">
        <v>396</v>
      </c>
      <c r="H49" s="26">
        <v>114</v>
      </c>
      <c r="I49" s="26">
        <f t="shared" si="0"/>
        <v>323</v>
      </c>
      <c r="J49" s="18" t="s">
        <v>435</v>
      </c>
      <c r="K49" s="27">
        <f t="shared" si="1"/>
        <v>190</v>
      </c>
      <c r="L49" s="28">
        <f t="shared" si="2"/>
        <v>6661</v>
      </c>
    </row>
    <row r="50" spans="2:12">
      <c r="B50" s="13" t="s">
        <v>68</v>
      </c>
      <c r="C50" s="14" t="s">
        <v>19</v>
      </c>
      <c r="D50" s="15">
        <v>43253</v>
      </c>
      <c r="E50" s="16" t="s">
        <v>451</v>
      </c>
      <c r="F50" s="26">
        <v>871</v>
      </c>
      <c r="G50" s="17" t="s">
        <v>397</v>
      </c>
      <c r="H50" s="26">
        <v>17</v>
      </c>
      <c r="I50" s="26">
        <f t="shared" si="0"/>
        <v>44</v>
      </c>
      <c r="J50" s="18" t="s">
        <v>439</v>
      </c>
      <c r="K50" s="27">
        <f t="shared" si="1"/>
        <v>0</v>
      </c>
      <c r="L50" s="28">
        <f t="shared" si="2"/>
        <v>915</v>
      </c>
    </row>
    <row r="51" spans="2:12">
      <c r="B51" s="13" t="s">
        <v>69</v>
      </c>
      <c r="C51" s="14" t="s">
        <v>16</v>
      </c>
      <c r="D51" s="15">
        <v>43254</v>
      </c>
      <c r="E51" s="16" t="s">
        <v>452</v>
      </c>
      <c r="F51" s="26">
        <v>6504</v>
      </c>
      <c r="G51" s="17" t="s">
        <v>12</v>
      </c>
      <c r="H51" s="26">
        <v>0</v>
      </c>
      <c r="I51" s="26">
        <f t="shared" si="0"/>
        <v>325</v>
      </c>
      <c r="J51" s="18" t="s">
        <v>434</v>
      </c>
      <c r="K51" s="27">
        <f t="shared" si="1"/>
        <v>195</v>
      </c>
      <c r="L51" s="28">
        <f t="shared" si="2"/>
        <v>6829</v>
      </c>
    </row>
    <row r="52" spans="2:12">
      <c r="B52" s="13" t="s">
        <v>70</v>
      </c>
      <c r="C52" s="14" t="s">
        <v>16</v>
      </c>
      <c r="D52" s="15">
        <v>43255</v>
      </c>
      <c r="E52" s="16" t="s">
        <v>453</v>
      </c>
      <c r="F52" s="26">
        <v>9475</v>
      </c>
      <c r="G52" s="17" t="s">
        <v>396</v>
      </c>
      <c r="H52" s="26">
        <v>0</v>
      </c>
      <c r="I52" s="26">
        <f t="shared" si="0"/>
        <v>474</v>
      </c>
      <c r="J52" s="18" t="s">
        <v>439</v>
      </c>
      <c r="K52" s="27">
        <f t="shared" si="1"/>
        <v>332</v>
      </c>
      <c r="L52" s="28">
        <f t="shared" si="2"/>
        <v>9949</v>
      </c>
    </row>
    <row r="53" spans="2:12">
      <c r="B53" s="13" t="s">
        <v>71</v>
      </c>
      <c r="C53" s="14" t="s">
        <v>17</v>
      </c>
      <c r="D53" s="15">
        <v>43255</v>
      </c>
      <c r="E53" s="16" t="s">
        <v>10</v>
      </c>
      <c r="F53" s="26">
        <v>2790</v>
      </c>
      <c r="G53" s="17" t="s">
        <v>397</v>
      </c>
      <c r="H53" s="26">
        <v>50</v>
      </c>
      <c r="I53" s="26">
        <f t="shared" si="0"/>
        <v>142</v>
      </c>
      <c r="J53" s="18" t="s">
        <v>435</v>
      </c>
      <c r="K53" s="27">
        <f t="shared" si="1"/>
        <v>56</v>
      </c>
      <c r="L53" s="28">
        <f t="shared" si="2"/>
        <v>2932</v>
      </c>
    </row>
    <row r="54" spans="2:12">
      <c r="B54" s="13" t="s">
        <v>72</v>
      </c>
      <c r="C54" s="14" t="s">
        <v>17</v>
      </c>
      <c r="D54" s="15">
        <v>43255</v>
      </c>
      <c r="E54" s="16" t="s">
        <v>451</v>
      </c>
      <c r="F54" s="26">
        <v>7471</v>
      </c>
      <c r="G54" s="17" t="s">
        <v>12</v>
      </c>
      <c r="H54" s="26">
        <v>0</v>
      </c>
      <c r="I54" s="26">
        <f t="shared" si="0"/>
        <v>374</v>
      </c>
      <c r="J54" s="18" t="s">
        <v>434</v>
      </c>
      <c r="K54" s="27">
        <f t="shared" si="1"/>
        <v>224</v>
      </c>
      <c r="L54" s="28">
        <f t="shared" si="2"/>
        <v>7845</v>
      </c>
    </row>
    <row r="55" spans="2:12">
      <c r="B55" s="13" t="s">
        <v>73</v>
      </c>
      <c r="C55" s="14" t="s">
        <v>9</v>
      </c>
      <c r="D55" s="15">
        <v>43260</v>
      </c>
      <c r="E55" s="16" t="s">
        <v>453</v>
      </c>
      <c r="F55" s="26">
        <v>2633</v>
      </c>
      <c r="G55" s="17" t="s">
        <v>12</v>
      </c>
      <c r="H55" s="26">
        <v>78</v>
      </c>
      <c r="I55" s="26">
        <f t="shared" si="0"/>
        <v>136</v>
      </c>
      <c r="J55" s="18" t="s">
        <v>13</v>
      </c>
      <c r="K55" s="27">
        <f t="shared" si="1"/>
        <v>53</v>
      </c>
      <c r="L55" s="28">
        <f t="shared" si="2"/>
        <v>2769</v>
      </c>
    </row>
    <row r="56" spans="2:12">
      <c r="B56" s="13" t="s">
        <v>74</v>
      </c>
      <c r="C56" s="14" t="s">
        <v>15</v>
      </c>
      <c r="D56" s="15">
        <v>43269</v>
      </c>
      <c r="E56" s="16" t="s">
        <v>451</v>
      </c>
      <c r="F56" s="26">
        <v>1999</v>
      </c>
      <c r="G56" s="17" t="s">
        <v>12</v>
      </c>
      <c r="H56" s="26">
        <v>59</v>
      </c>
      <c r="I56" s="26">
        <f t="shared" si="0"/>
        <v>103</v>
      </c>
      <c r="J56" s="18" t="s">
        <v>13</v>
      </c>
      <c r="K56" s="27">
        <f t="shared" si="1"/>
        <v>30</v>
      </c>
      <c r="L56" s="28">
        <f t="shared" si="2"/>
        <v>2102</v>
      </c>
    </row>
    <row r="57" spans="2:12">
      <c r="B57" s="13" t="s">
        <v>75</v>
      </c>
      <c r="C57" s="16" t="s">
        <v>14</v>
      </c>
      <c r="D57" s="15">
        <v>43271</v>
      </c>
      <c r="E57" s="16" t="s">
        <v>10</v>
      </c>
      <c r="F57" s="26">
        <v>2274</v>
      </c>
      <c r="G57" s="17" t="s">
        <v>11</v>
      </c>
      <c r="H57" s="26">
        <v>68</v>
      </c>
      <c r="I57" s="26">
        <f t="shared" si="0"/>
        <v>117</v>
      </c>
      <c r="J57" s="18" t="s">
        <v>13</v>
      </c>
      <c r="K57" s="27">
        <f t="shared" si="1"/>
        <v>45</v>
      </c>
      <c r="L57" s="28">
        <f t="shared" si="2"/>
        <v>2391</v>
      </c>
    </row>
    <row r="58" spans="2:12">
      <c r="B58" s="13" t="s">
        <v>76</v>
      </c>
      <c r="C58" s="14" t="s">
        <v>15</v>
      </c>
      <c r="D58" s="15">
        <v>43274</v>
      </c>
      <c r="E58" s="16" t="s">
        <v>453</v>
      </c>
      <c r="F58" s="26">
        <v>746</v>
      </c>
      <c r="G58" s="17" t="s">
        <v>399</v>
      </c>
      <c r="H58" s="26">
        <v>14</v>
      </c>
      <c r="I58" s="26">
        <f t="shared" si="0"/>
        <v>38</v>
      </c>
      <c r="J58" s="18" t="s">
        <v>439</v>
      </c>
      <c r="K58" s="27">
        <f t="shared" si="1"/>
        <v>0</v>
      </c>
      <c r="L58" s="28">
        <f t="shared" si="2"/>
        <v>784</v>
      </c>
    </row>
    <row r="59" spans="2:12">
      <c r="B59" s="13" t="s">
        <v>77</v>
      </c>
      <c r="C59" s="14" t="s">
        <v>16</v>
      </c>
      <c r="D59" s="15">
        <v>43277</v>
      </c>
      <c r="E59" s="16" t="s">
        <v>10</v>
      </c>
      <c r="F59" s="26">
        <v>2923</v>
      </c>
      <c r="G59" s="17" t="s">
        <v>399</v>
      </c>
      <c r="H59" s="26">
        <v>52</v>
      </c>
      <c r="I59" s="26">
        <f t="shared" si="0"/>
        <v>149</v>
      </c>
      <c r="J59" s="18" t="s">
        <v>435</v>
      </c>
      <c r="K59" s="27">
        <f t="shared" si="1"/>
        <v>58</v>
      </c>
      <c r="L59" s="28">
        <f t="shared" si="2"/>
        <v>3072</v>
      </c>
    </row>
    <row r="60" spans="2:12">
      <c r="B60" s="13" t="s">
        <v>78</v>
      </c>
      <c r="C60" s="16" t="s">
        <v>14</v>
      </c>
      <c r="D60" s="15">
        <v>43279</v>
      </c>
      <c r="E60" s="16" t="s">
        <v>453</v>
      </c>
      <c r="F60" s="26">
        <v>5160</v>
      </c>
      <c r="G60" s="17" t="s">
        <v>11</v>
      </c>
      <c r="H60" s="26">
        <v>0</v>
      </c>
      <c r="I60" s="26">
        <f t="shared" si="0"/>
        <v>258</v>
      </c>
      <c r="J60" s="18" t="s">
        <v>434</v>
      </c>
      <c r="K60" s="27">
        <f t="shared" si="1"/>
        <v>129</v>
      </c>
      <c r="L60" s="28">
        <f t="shared" si="2"/>
        <v>5418</v>
      </c>
    </row>
    <row r="61" spans="2:12">
      <c r="B61" s="13" t="s">
        <v>79</v>
      </c>
      <c r="C61" s="14" t="s">
        <v>17</v>
      </c>
      <c r="D61" s="15">
        <v>43282</v>
      </c>
      <c r="E61" s="16" t="s">
        <v>18</v>
      </c>
      <c r="F61" s="26">
        <v>5710</v>
      </c>
      <c r="G61" s="17" t="s">
        <v>12</v>
      </c>
      <c r="H61" s="26">
        <v>0</v>
      </c>
      <c r="I61" s="26">
        <f t="shared" si="0"/>
        <v>286</v>
      </c>
      <c r="J61" s="18" t="s">
        <v>439</v>
      </c>
      <c r="K61" s="27">
        <f t="shared" si="1"/>
        <v>143</v>
      </c>
      <c r="L61" s="28">
        <f t="shared" si="2"/>
        <v>5996</v>
      </c>
    </row>
    <row r="62" spans="2:12">
      <c r="B62" s="13" t="s">
        <v>80</v>
      </c>
      <c r="C62" s="14" t="s">
        <v>16</v>
      </c>
      <c r="D62" s="15">
        <v>43284</v>
      </c>
      <c r="E62" s="16" t="s">
        <v>10</v>
      </c>
      <c r="F62" s="26">
        <v>9134</v>
      </c>
      <c r="G62" s="17" t="s">
        <v>12</v>
      </c>
      <c r="H62" s="26">
        <v>274</v>
      </c>
      <c r="I62" s="26">
        <f t="shared" si="0"/>
        <v>470</v>
      </c>
      <c r="J62" s="18" t="s">
        <v>13</v>
      </c>
      <c r="K62" s="27">
        <f t="shared" si="1"/>
        <v>320</v>
      </c>
      <c r="L62" s="28">
        <f t="shared" si="2"/>
        <v>9604</v>
      </c>
    </row>
    <row r="63" spans="2:12">
      <c r="B63" s="13" t="s">
        <v>81</v>
      </c>
      <c r="C63" s="14" t="s">
        <v>19</v>
      </c>
      <c r="D63" s="15">
        <v>43287</v>
      </c>
      <c r="E63" s="16" t="s">
        <v>452</v>
      </c>
      <c r="F63" s="26">
        <v>4514</v>
      </c>
      <c r="G63" s="17" t="s">
        <v>11</v>
      </c>
      <c r="H63" s="26">
        <v>81</v>
      </c>
      <c r="I63" s="26">
        <f t="shared" si="0"/>
        <v>230</v>
      </c>
      <c r="J63" s="18" t="s">
        <v>435</v>
      </c>
      <c r="K63" s="27">
        <f t="shared" si="1"/>
        <v>113</v>
      </c>
      <c r="L63" s="28">
        <f t="shared" si="2"/>
        <v>4744</v>
      </c>
    </row>
    <row r="64" spans="2:12">
      <c r="B64" s="13" t="s">
        <v>82</v>
      </c>
      <c r="C64" s="14" t="s">
        <v>15</v>
      </c>
      <c r="D64" s="15">
        <v>43287</v>
      </c>
      <c r="E64" s="16" t="s">
        <v>18</v>
      </c>
      <c r="F64" s="26">
        <v>2060</v>
      </c>
      <c r="G64" s="17" t="s">
        <v>11</v>
      </c>
      <c r="H64" s="26">
        <v>37</v>
      </c>
      <c r="I64" s="26">
        <f t="shared" si="0"/>
        <v>105</v>
      </c>
      <c r="J64" s="18" t="s">
        <v>435</v>
      </c>
      <c r="K64" s="27">
        <f t="shared" si="1"/>
        <v>41</v>
      </c>
      <c r="L64" s="28">
        <f t="shared" si="2"/>
        <v>2165</v>
      </c>
    </row>
    <row r="65" spans="2:12">
      <c r="B65" s="13" t="s">
        <v>83</v>
      </c>
      <c r="C65" s="14" t="s">
        <v>16</v>
      </c>
      <c r="D65" s="15">
        <v>43295</v>
      </c>
      <c r="E65" s="16" t="s">
        <v>452</v>
      </c>
      <c r="F65" s="26">
        <v>6829</v>
      </c>
      <c r="G65" s="17" t="s">
        <v>12</v>
      </c>
      <c r="H65" s="26">
        <v>0</v>
      </c>
      <c r="I65" s="26">
        <f t="shared" si="0"/>
        <v>341</v>
      </c>
      <c r="J65" s="18" t="s">
        <v>439</v>
      </c>
      <c r="K65" s="27">
        <f t="shared" si="1"/>
        <v>205</v>
      </c>
      <c r="L65" s="28">
        <f t="shared" si="2"/>
        <v>7170</v>
      </c>
    </row>
    <row r="66" spans="2:12">
      <c r="B66" s="13" t="s">
        <v>84</v>
      </c>
      <c r="C66" s="16" t="s">
        <v>14</v>
      </c>
      <c r="D66" s="15">
        <v>43295</v>
      </c>
      <c r="E66" s="16" t="s">
        <v>451</v>
      </c>
      <c r="F66" s="26">
        <v>2908</v>
      </c>
      <c r="G66" s="17" t="s">
        <v>12</v>
      </c>
      <c r="H66" s="26">
        <v>0</v>
      </c>
      <c r="I66" s="26">
        <f t="shared" si="0"/>
        <v>145</v>
      </c>
      <c r="J66" s="18" t="s">
        <v>434</v>
      </c>
      <c r="K66" s="27">
        <f t="shared" si="1"/>
        <v>58</v>
      </c>
      <c r="L66" s="28">
        <f t="shared" si="2"/>
        <v>3053</v>
      </c>
    </row>
    <row r="67" spans="2:12">
      <c r="B67" s="13" t="s">
        <v>85</v>
      </c>
      <c r="C67" s="14" t="s">
        <v>19</v>
      </c>
      <c r="D67" s="15">
        <v>43297</v>
      </c>
      <c r="E67" s="16" t="s">
        <v>453</v>
      </c>
      <c r="F67" s="26">
        <v>8677</v>
      </c>
      <c r="G67" s="17" t="s">
        <v>397</v>
      </c>
      <c r="H67" s="26">
        <v>0</v>
      </c>
      <c r="I67" s="26">
        <f t="shared" ref="I67:I130" si="3">ROUND((F67+H67)*0.05,0)</f>
        <v>434</v>
      </c>
      <c r="J67" s="18" t="s">
        <v>434</v>
      </c>
      <c r="K67" s="27">
        <f t="shared" ref="K67:K130" si="4">ROUND(VLOOKUP(F67,獎金比例對照表,2,TRUE)*F67,0)</f>
        <v>304</v>
      </c>
      <c r="L67" s="28">
        <f t="shared" ref="L67:L130" si="5">F67+I67</f>
        <v>9111</v>
      </c>
    </row>
    <row r="68" spans="2:12">
      <c r="B68" s="13" t="s">
        <v>86</v>
      </c>
      <c r="C68" s="19" t="s">
        <v>20</v>
      </c>
      <c r="D68" s="15">
        <v>43300</v>
      </c>
      <c r="E68" s="16" t="s">
        <v>450</v>
      </c>
      <c r="F68" s="26">
        <v>5949</v>
      </c>
      <c r="G68" s="17" t="s">
        <v>398</v>
      </c>
      <c r="H68" s="26">
        <v>0</v>
      </c>
      <c r="I68" s="26">
        <f t="shared" si="3"/>
        <v>297</v>
      </c>
      <c r="J68" s="18" t="s">
        <v>439</v>
      </c>
      <c r="K68" s="27">
        <f t="shared" si="4"/>
        <v>149</v>
      </c>
      <c r="L68" s="28">
        <f t="shared" si="5"/>
        <v>6246</v>
      </c>
    </row>
    <row r="69" spans="2:12">
      <c r="B69" s="13" t="s">
        <v>87</v>
      </c>
      <c r="C69" s="19" t="s">
        <v>20</v>
      </c>
      <c r="D69" s="15">
        <v>43306</v>
      </c>
      <c r="E69" s="16" t="s">
        <v>450</v>
      </c>
      <c r="F69" s="26">
        <v>517</v>
      </c>
      <c r="G69" s="17" t="s">
        <v>12</v>
      </c>
      <c r="H69" s="26">
        <v>10</v>
      </c>
      <c r="I69" s="26">
        <f t="shared" si="3"/>
        <v>26</v>
      </c>
      <c r="J69" s="18" t="s">
        <v>439</v>
      </c>
      <c r="K69" s="27">
        <f t="shared" si="4"/>
        <v>0</v>
      </c>
      <c r="L69" s="28">
        <f t="shared" si="5"/>
        <v>543</v>
      </c>
    </row>
    <row r="70" spans="2:12">
      <c r="B70" s="13" t="s">
        <v>88</v>
      </c>
      <c r="C70" s="16" t="s">
        <v>14</v>
      </c>
      <c r="D70" s="15">
        <v>43310</v>
      </c>
      <c r="E70" s="16" t="s">
        <v>18</v>
      </c>
      <c r="F70" s="26">
        <v>3959</v>
      </c>
      <c r="G70" s="17" t="s">
        <v>12</v>
      </c>
      <c r="H70" s="26">
        <v>71</v>
      </c>
      <c r="I70" s="26">
        <f t="shared" si="3"/>
        <v>202</v>
      </c>
      <c r="J70" s="18" t="s">
        <v>435</v>
      </c>
      <c r="K70" s="27">
        <f t="shared" si="4"/>
        <v>99</v>
      </c>
      <c r="L70" s="28">
        <f t="shared" si="5"/>
        <v>4161</v>
      </c>
    </row>
    <row r="71" spans="2:12">
      <c r="B71" s="13" t="s">
        <v>89</v>
      </c>
      <c r="C71" s="14" t="s">
        <v>16</v>
      </c>
      <c r="D71" s="15">
        <v>43310</v>
      </c>
      <c r="E71" s="16" t="s">
        <v>452</v>
      </c>
      <c r="F71" s="26">
        <v>1677</v>
      </c>
      <c r="G71" s="17" t="s">
        <v>11</v>
      </c>
      <c r="H71" s="26">
        <v>33</v>
      </c>
      <c r="I71" s="26">
        <f t="shared" si="3"/>
        <v>86</v>
      </c>
      <c r="J71" s="18" t="s">
        <v>439</v>
      </c>
      <c r="K71" s="27">
        <f t="shared" si="4"/>
        <v>25</v>
      </c>
      <c r="L71" s="28">
        <f t="shared" si="5"/>
        <v>1763</v>
      </c>
    </row>
    <row r="72" spans="2:12">
      <c r="B72" s="13" t="s">
        <v>90</v>
      </c>
      <c r="C72" s="14" t="s">
        <v>9</v>
      </c>
      <c r="D72" s="15">
        <v>43314</v>
      </c>
      <c r="E72" s="16" t="s">
        <v>453</v>
      </c>
      <c r="F72" s="26">
        <v>3325</v>
      </c>
      <c r="G72" s="17" t="s">
        <v>397</v>
      </c>
      <c r="H72" s="26">
        <v>99</v>
      </c>
      <c r="I72" s="26">
        <f t="shared" si="3"/>
        <v>171</v>
      </c>
      <c r="J72" s="18" t="s">
        <v>13</v>
      </c>
      <c r="K72" s="27">
        <f t="shared" si="4"/>
        <v>67</v>
      </c>
      <c r="L72" s="28">
        <f t="shared" si="5"/>
        <v>3496</v>
      </c>
    </row>
    <row r="73" spans="2:12">
      <c r="B73" s="13" t="s">
        <v>91</v>
      </c>
      <c r="C73" s="14" t="s">
        <v>16</v>
      </c>
      <c r="D73" s="15">
        <v>43314</v>
      </c>
      <c r="E73" s="16" t="s">
        <v>18</v>
      </c>
      <c r="F73" s="26">
        <v>8394</v>
      </c>
      <c r="G73" s="17" t="s">
        <v>397</v>
      </c>
      <c r="H73" s="26">
        <v>0</v>
      </c>
      <c r="I73" s="26">
        <f t="shared" si="3"/>
        <v>420</v>
      </c>
      <c r="J73" s="18" t="s">
        <v>439</v>
      </c>
      <c r="K73" s="27">
        <f t="shared" si="4"/>
        <v>294</v>
      </c>
      <c r="L73" s="28">
        <f t="shared" si="5"/>
        <v>8814</v>
      </c>
    </row>
    <row r="74" spans="2:12">
      <c r="B74" s="13" t="s">
        <v>92</v>
      </c>
      <c r="C74" s="14" t="s">
        <v>17</v>
      </c>
      <c r="D74" s="15">
        <v>43315</v>
      </c>
      <c r="E74" s="16" t="s">
        <v>10</v>
      </c>
      <c r="F74" s="26">
        <v>9794</v>
      </c>
      <c r="G74" s="17" t="s">
        <v>12</v>
      </c>
      <c r="H74" s="26">
        <v>0</v>
      </c>
      <c r="I74" s="26">
        <f t="shared" si="3"/>
        <v>490</v>
      </c>
      <c r="J74" s="18" t="s">
        <v>434</v>
      </c>
      <c r="K74" s="27">
        <f t="shared" si="4"/>
        <v>343</v>
      </c>
      <c r="L74" s="28">
        <f t="shared" si="5"/>
        <v>10284</v>
      </c>
    </row>
    <row r="75" spans="2:12">
      <c r="B75" s="13" t="s">
        <v>93</v>
      </c>
      <c r="C75" s="16" t="s">
        <v>14</v>
      </c>
      <c r="D75" s="15">
        <v>43315</v>
      </c>
      <c r="E75" s="16" t="s">
        <v>453</v>
      </c>
      <c r="F75" s="26">
        <v>7405</v>
      </c>
      <c r="G75" s="17" t="s">
        <v>397</v>
      </c>
      <c r="H75" s="26">
        <v>222</v>
      </c>
      <c r="I75" s="26">
        <f t="shared" si="3"/>
        <v>381</v>
      </c>
      <c r="J75" s="18" t="s">
        <v>13</v>
      </c>
      <c r="K75" s="27">
        <f t="shared" si="4"/>
        <v>222</v>
      </c>
      <c r="L75" s="28">
        <f t="shared" si="5"/>
        <v>7786</v>
      </c>
    </row>
    <row r="76" spans="2:12">
      <c r="B76" s="13" t="s">
        <v>94</v>
      </c>
      <c r="C76" s="14" t="s">
        <v>15</v>
      </c>
      <c r="D76" s="15">
        <v>43316</v>
      </c>
      <c r="E76" s="16" t="s">
        <v>453</v>
      </c>
      <c r="F76" s="26">
        <v>5538</v>
      </c>
      <c r="G76" s="17" t="s">
        <v>399</v>
      </c>
      <c r="H76" s="26">
        <v>0</v>
      </c>
      <c r="I76" s="26">
        <f t="shared" si="3"/>
        <v>277</v>
      </c>
      <c r="J76" s="18" t="s">
        <v>434</v>
      </c>
      <c r="K76" s="27">
        <f t="shared" si="4"/>
        <v>138</v>
      </c>
      <c r="L76" s="28">
        <f t="shared" si="5"/>
        <v>5815</v>
      </c>
    </row>
    <row r="77" spans="2:12">
      <c r="B77" s="13" t="s">
        <v>95</v>
      </c>
      <c r="C77" s="14" t="s">
        <v>15</v>
      </c>
      <c r="D77" s="15">
        <v>43317</v>
      </c>
      <c r="E77" s="16" t="s">
        <v>452</v>
      </c>
      <c r="F77" s="26">
        <v>5406</v>
      </c>
      <c r="G77" s="17" t="s">
        <v>11</v>
      </c>
      <c r="H77" s="26">
        <v>0</v>
      </c>
      <c r="I77" s="26">
        <f t="shared" si="3"/>
        <v>270</v>
      </c>
      <c r="J77" s="18" t="s">
        <v>439</v>
      </c>
      <c r="K77" s="27">
        <f t="shared" si="4"/>
        <v>135</v>
      </c>
      <c r="L77" s="28">
        <f t="shared" si="5"/>
        <v>5676</v>
      </c>
    </row>
    <row r="78" spans="2:12">
      <c r="B78" s="13" t="s">
        <v>96</v>
      </c>
      <c r="C78" s="14" t="s">
        <v>16</v>
      </c>
      <c r="D78" s="15">
        <v>43319</v>
      </c>
      <c r="E78" s="16" t="s">
        <v>453</v>
      </c>
      <c r="F78" s="26">
        <v>6131</v>
      </c>
      <c r="G78" s="17" t="s">
        <v>11</v>
      </c>
      <c r="H78" s="26">
        <v>110</v>
      </c>
      <c r="I78" s="26">
        <f t="shared" si="3"/>
        <v>312</v>
      </c>
      <c r="J78" s="18" t="s">
        <v>435</v>
      </c>
      <c r="K78" s="27">
        <f t="shared" si="4"/>
        <v>184</v>
      </c>
      <c r="L78" s="28">
        <f t="shared" si="5"/>
        <v>6443</v>
      </c>
    </row>
    <row r="79" spans="2:12">
      <c r="B79" s="13" t="s">
        <v>97</v>
      </c>
      <c r="C79" s="14" t="s">
        <v>19</v>
      </c>
      <c r="D79" s="15">
        <v>43325</v>
      </c>
      <c r="E79" s="16" t="s">
        <v>452</v>
      </c>
      <c r="F79" s="26">
        <v>9460</v>
      </c>
      <c r="G79" s="17" t="s">
        <v>399</v>
      </c>
      <c r="H79" s="26">
        <v>0</v>
      </c>
      <c r="I79" s="26">
        <f t="shared" si="3"/>
        <v>473</v>
      </c>
      <c r="J79" s="18" t="s">
        <v>439</v>
      </c>
      <c r="K79" s="27">
        <f t="shared" si="4"/>
        <v>331</v>
      </c>
      <c r="L79" s="28">
        <f t="shared" si="5"/>
        <v>9933</v>
      </c>
    </row>
    <row r="80" spans="2:12">
      <c r="B80" s="13" t="s">
        <v>98</v>
      </c>
      <c r="C80" s="14" t="s">
        <v>19</v>
      </c>
      <c r="D80" s="15">
        <v>43326</v>
      </c>
      <c r="E80" s="16" t="s">
        <v>10</v>
      </c>
      <c r="F80" s="26">
        <v>8692</v>
      </c>
      <c r="G80" s="17" t="s">
        <v>397</v>
      </c>
      <c r="H80" s="26">
        <v>156</v>
      </c>
      <c r="I80" s="26">
        <f t="shared" si="3"/>
        <v>442</v>
      </c>
      <c r="J80" s="18" t="s">
        <v>435</v>
      </c>
      <c r="K80" s="27">
        <f t="shared" si="4"/>
        <v>304</v>
      </c>
      <c r="L80" s="28">
        <f t="shared" si="5"/>
        <v>9134</v>
      </c>
    </row>
    <row r="81" spans="2:12">
      <c r="B81" s="13" t="s">
        <v>99</v>
      </c>
      <c r="C81" s="14" t="s">
        <v>9</v>
      </c>
      <c r="D81" s="15">
        <v>43330</v>
      </c>
      <c r="E81" s="16" t="s">
        <v>10</v>
      </c>
      <c r="F81" s="26">
        <v>3058</v>
      </c>
      <c r="G81" s="17" t="s">
        <v>11</v>
      </c>
      <c r="H81" s="26">
        <v>55</v>
      </c>
      <c r="I81" s="26">
        <f t="shared" si="3"/>
        <v>156</v>
      </c>
      <c r="J81" s="18" t="s">
        <v>435</v>
      </c>
      <c r="K81" s="27">
        <f t="shared" si="4"/>
        <v>61</v>
      </c>
      <c r="L81" s="28">
        <f t="shared" si="5"/>
        <v>3214</v>
      </c>
    </row>
    <row r="82" spans="2:12">
      <c r="B82" s="13" t="s">
        <v>100</v>
      </c>
      <c r="C82" s="14" t="s">
        <v>15</v>
      </c>
      <c r="D82" s="15">
        <v>43336</v>
      </c>
      <c r="E82" s="16" t="s">
        <v>452</v>
      </c>
      <c r="F82" s="26">
        <v>5434</v>
      </c>
      <c r="G82" s="17" t="s">
        <v>11</v>
      </c>
      <c r="H82" s="26">
        <v>163</v>
      </c>
      <c r="I82" s="26">
        <f t="shared" si="3"/>
        <v>280</v>
      </c>
      <c r="J82" s="18" t="s">
        <v>13</v>
      </c>
      <c r="K82" s="27">
        <f t="shared" si="4"/>
        <v>136</v>
      </c>
      <c r="L82" s="28">
        <f t="shared" si="5"/>
        <v>5714</v>
      </c>
    </row>
    <row r="83" spans="2:12">
      <c r="B83" s="13" t="s">
        <v>101</v>
      </c>
      <c r="C83" s="14" t="s">
        <v>9</v>
      </c>
      <c r="D83" s="15">
        <v>43339</v>
      </c>
      <c r="E83" s="16" t="s">
        <v>10</v>
      </c>
      <c r="F83" s="26">
        <v>735</v>
      </c>
      <c r="G83" s="17" t="s">
        <v>12</v>
      </c>
      <c r="H83" s="26">
        <v>0</v>
      </c>
      <c r="I83" s="26">
        <f t="shared" si="3"/>
        <v>37</v>
      </c>
      <c r="J83" s="18" t="s">
        <v>434</v>
      </c>
      <c r="K83" s="27">
        <f t="shared" si="4"/>
        <v>0</v>
      </c>
      <c r="L83" s="28">
        <f t="shared" si="5"/>
        <v>772</v>
      </c>
    </row>
    <row r="84" spans="2:12">
      <c r="B84" s="13" t="s">
        <v>102</v>
      </c>
      <c r="C84" s="19" t="s">
        <v>20</v>
      </c>
      <c r="D84" s="15">
        <v>43343</v>
      </c>
      <c r="E84" s="16" t="s">
        <v>453</v>
      </c>
      <c r="F84" s="26">
        <v>2176</v>
      </c>
      <c r="G84" s="17" t="s">
        <v>11</v>
      </c>
      <c r="H84" s="26">
        <v>43</v>
      </c>
      <c r="I84" s="26">
        <f t="shared" si="3"/>
        <v>111</v>
      </c>
      <c r="J84" s="18" t="s">
        <v>439</v>
      </c>
      <c r="K84" s="27">
        <f t="shared" si="4"/>
        <v>44</v>
      </c>
      <c r="L84" s="28">
        <f t="shared" si="5"/>
        <v>2287</v>
      </c>
    </row>
    <row r="85" spans="2:12">
      <c r="B85" s="13" t="s">
        <v>103</v>
      </c>
      <c r="C85" s="19" t="s">
        <v>20</v>
      </c>
      <c r="D85" s="15">
        <v>43349</v>
      </c>
      <c r="E85" s="16" t="s">
        <v>450</v>
      </c>
      <c r="F85" s="26">
        <v>6196</v>
      </c>
      <c r="G85" s="17" t="s">
        <v>12</v>
      </c>
      <c r="H85" s="26">
        <v>185</v>
      </c>
      <c r="I85" s="26">
        <f t="shared" si="3"/>
        <v>319</v>
      </c>
      <c r="J85" s="18" t="s">
        <v>13</v>
      </c>
      <c r="K85" s="27">
        <f t="shared" si="4"/>
        <v>186</v>
      </c>
      <c r="L85" s="28">
        <f t="shared" si="5"/>
        <v>6515</v>
      </c>
    </row>
    <row r="86" spans="2:12">
      <c r="B86" s="13" t="s">
        <v>104</v>
      </c>
      <c r="C86" s="19" t="s">
        <v>20</v>
      </c>
      <c r="D86" s="15">
        <v>43351</v>
      </c>
      <c r="E86" s="16" t="s">
        <v>451</v>
      </c>
      <c r="F86" s="26">
        <v>4967</v>
      </c>
      <c r="G86" s="17" t="s">
        <v>12</v>
      </c>
      <c r="H86" s="26">
        <v>0</v>
      </c>
      <c r="I86" s="26">
        <f t="shared" si="3"/>
        <v>248</v>
      </c>
      <c r="J86" s="18" t="s">
        <v>434</v>
      </c>
      <c r="K86" s="27">
        <f t="shared" si="4"/>
        <v>124</v>
      </c>
      <c r="L86" s="28">
        <f t="shared" si="5"/>
        <v>5215</v>
      </c>
    </row>
    <row r="87" spans="2:12">
      <c r="B87" s="13" t="s">
        <v>105</v>
      </c>
      <c r="C87" s="14" t="s">
        <v>15</v>
      </c>
      <c r="D87" s="15">
        <v>43351</v>
      </c>
      <c r="E87" s="16" t="s">
        <v>453</v>
      </c>
      <c r="F87" s="26">
        <v>449</v>
      </c>
      <c r="G87" s="17" t="s">
        <v>396</v>
      </c>
      <c r="H87" s="26">
        <v>0</v>
      </c>
      <c r="I87" s="26">
        <f t="shared" si="3"/>
        <v>22</v>
      </c>
      <c r="J87" s="18" t="s">
        <v>434</v>
      </c>
      <c r="K87" s="27">
        <f t="shared" si="4"/>
        <v>0</v>
      </c>
      <c r="L87" s="28">
        <f t="shared" si="5"/>
        <v>471</v>
      </c>
    </row>
    <row r="88" spans="2:12">
      <c r="B88" s="13" t="s">
        <v>106</v>
      </c>
      <c r="C88" s="14" t="s">
        <v>16</v>
      </c>
      <c r="D88" s="15">
        <v>43353</v>
      </c>
      <c r="E88" s="16" t="s">
        <v>453</v>
      </c>
      <c r="F88" s="26">
        <v>8662</v>
      </c>
      <c r="G88" s="17" t="s">
        <v>11</v>
      </c>
      <c r="H88" s="26">
        <v>155</v>
      </c>
      <c r="I88" s="26">
        <f t="shared" si="3"/>
        <v>441</v>
      </c>
      <c r="J88" s="18" t="s">
        <v>435</v>
      </c>
      <c r="K88" s="27">
        <f t="shared" si="4"/>
        <v>303</v>
      </c>
      <c r="L88" s="28">
        <f t="shared" si="5"/>
        <v>9103</v>
      </c>
    </row>
    <row r="89" spans="2:12">
      <c r="B89" s="13" t="s">
        <v>107</v>
      </c>
      <c r="C89" s="16" t="s">
        <v>14</v>
      </c>
      <c r="D89" s="15">
        <v>43360</v>
      </c>
      <c r="E89" s="16" t="s">
        <v>453</v>
      </c>
      <c r="F89" s="26">
        <v>182</v>
      </c>
      <c r="G89" s="17" t="s">
        <v>399</v>
      </c>
      <c r="H89" s="26">
        <v>3</v>
      </c>
      <c r="I89" s="26">
        <f t="shared" si="3"/>
        <v>9</v>
      </c>
      <c r="J89" s="18" t="s">
        <v>435</v>
      </c>
      <c r="K89" s="27">
        <f t="shared" si="4"/>
        <v>0</v>
      </c>
      <c r="L89" s="28">
        <f t="shared" si="5"/>
        <v>191</v>
      </c>
    </row>
    <row r="90" spans="2:12">
      <c r="B90" s="13" t="s">
        <v>108</v>
      </c>
      <c r="C90" s="14" t="s">
        <v>15</v>
      </c>
      <c r="D90" s="15">
        <v>43362</v>
      </c>
      <c r="E90" s="16" t="s">
        <v>453</v>
      </c>
      <c r="F90" s="26">
        <v>7371</v>
      </c>
      <c r="G90" s="17" t="s">
        <v>12</v>
      </c>
      <c r="H90" s="26">
        <v>221</v>
      </c>
      <c r="I90" s="26">
        <f t="shared" si="3"/>
        <v>380</v>
      </c>
      <c r="J90" s="18" t="s">
        <v>13</v>
      </c>
      <c r="K90" s="27">
        <f t="shared" si="4"/>
        <v>221</v>
      </c>
      <c r="L90" s="28">
        <f t="shared" si="5"/>
        <v>7751</v>
      </c>
    </row>
    <row r="91" spans="2:12">
      <c r="B91" s="13" t="s">
        <v>109</v>
      </c>
      <c r="C91" s="16" t="s">
        <v>14</v>
      </c>
      <c r="D91" s="15">
        <v>43369</v>
      </c>
      <c r="E91" s="16" t="s">
        <v>18</v>
      </c>
      <c r="F91" s="26">
        <v>9055</v>
      </c>
      <c r="G91" s="17" t="s">
        <v>399</v>
      </c>
      <c r="H91" s="26">
        <v>162</v>
      </c>
      <c r="I91" s="26">
        <f t="shared" si="3"/>
        <v>461</v>
      </c>
      <c r="J91" s="18" t="s">
        <v>435</v>
      </c>
      <c r="K91" s="27">
        <f t="shared" si="4"/>
        <v>317</v>
      </c>
      <c r="L91" s="28">
        <f t="shared" si="5"/>
        <v>9516</v>
      </c>
    </row>
    <row r="92" spans="2:12">
      <c r="B92" s="13" t="s">
        <v>110</v>
      </c>
      <c r="C92" s="16" t="s">
        <v>14</v>
      </c>
      <c r="D92" s="15">
        <v>43382</v>
      </c>
      <c r="E92" s="16" t="s">
        <v>18</v>
      </c>
      <c r="F92" s="26">
        <v>5147</v>
      </c>
      <c r="G92" s="17" t="s">
        <v>399</v>
      </c>
      <c r="H92" s="26">
        <v>0</v>
      </c>
      <c r="I92" s="26">
        <f t="shared" si="3"/>
        <v>257</v>
      </c>
      <c r="J92" s="18" t="s">
        <v>434</v>
      </c>
      <c r="K92" s="27">
        <f t="shared" si="4"/>
        <v>129</v>
      </c>
      <c r="L92" s="28">
        <f t="shared" si="5"/>
        <v>5404</v>
      </c>
    </row>
    <row r="93" spans="2:12">
      <c r="B93" s="13" t="s">
        <v>111</v>
      </c>
      <c r="C93" s="14" t="s">
        <v>17</v>
      </c>
      <c r="D93" s="15">
        <v>43385</v>
      </c>
      <c r="E93" s="16" t="s">
        <v>452</v>
      </c>
      <c r="F93" s="26">
        <v>3874</v>
      </c>
      <c r="G93" s="17" t="s">
        <v>12</v>
      </c>
      <c r="H93" s="26">
        <v>0</v>
      </c>
      <c r="I93" s="26">
        <f t="shared" si="3"/>
        <v>194</v>
      </c>
      <c r="J93" s="18" t="s">
        <v>439</v>
      </c>
      <c r="K93" s="27">
        <f t="shared" si="4"/>
        <v>97</v>
      </c>
      <c r="L93" s="28">
        <f t="shared" si="5"/>
        <v>4068</v>
      </c>
    </row>
    <row r="94" spans="2:12">
      <c r="B94" s="13" t="s">
        <v>112</v>
      </c>
      <c r="C94" s="14" t="s">
        <v>17</v>
      </c>
      <c r="D94" s="15">
        <v>43388</v>
      </c>
      <c r="E94" s="16" t="s">
        <v>452</v>
      </c>
      <c r="F94" s="26">
        <v>3070</v>
      </c>
      <c r="G94" s="17" t="s">
        <v>399</v>
      </c>
      <c r="H94" s="26">
        <v>0</v>
      </c>
      <c r="I94" s="26">
        <f t="shared" si="3"/>
        <v>154</v>
      </c>
      <c r="J94" s="18" t="s">
        <v>434</v>
      </c>
      <c r="K94" s="27">
        <f t="shared" si="4"/>
        <v>61</v>
      </c>
      <c r="L94" s="28">
        <f t="shared" si="5"/>
        <v>3224</v>
      </c>
    </row>
    <row r="95" spans="2:12">
      <c r="B95" s="13" t="s">
        <v>113</v>
      </c>
      <c r="C95" s="14" t="s">
        <v>9</v>
      </c>
      <c r="D95" s="15">
        <v>43392</v>
      </c>
      <c r="E95" s="16" t="s">
        <v>10</v>
      </c>
      <c r="F95" s="26">
        <v>9242</v>
      </c>
      <c r="G95" s="17" t="s">
        <v>12</v>
      </c>
      <c r="H95" s="26">
        <v>277</v>
      </c>
      <c r="I95" s="26">
        <f t="shared" si="3"/>
        <v>476</v>
      </c>
      <c r="J95" s="18" t="s">
        <v>13</v>
      </c>
      <c r="K95" s="27">
        <f t="shared" si="4"/>
        <v>323</v>
      </c>
      <c r="L95" s="28">
        <f t="shared" si="5"/>
        <v>9718</v>
      </c>
    </row>
    <row r="96" spans="2:12">
      <c r="B96" s="13" t="s">
        <v>114</v>
      </c>
      <c r="C96" s="14" t="s">
        <v>17</v>
      </c>
      <c r="D96" s="15">
        <v>43394</v>
      </c>
      <c r="E96" s="16" t="s">
        <v>450</v>
      </c>
      <c r="F96" s="26">
        <v>5066</v>
      </c>
      <c r="G96" s="17" t="s">
        <v>12</v>
      </c>
      <c r="H96" s="26">
        <v>0</v>
      </c>
      <c r="I96" s="26">
        <f t="shared" si="3"/>
        <v>253</v>
      </c>
      <c r="J96" s="18" t="s">
        <v>439</v>
      </c>
      <c r="K96" s="27">
        <f t="shared" si="4"/>
        <v>127</v>
      </c>
      <c r="L96" s="28">
        <f t="shared" si="5"/>
        <v>5319</v>
      </c>
    </row>
    <row r="97" spans="2:12">
      <c r="B97" s="13" t="s">
        <v>115</v>
      </c>
      <c r="C97" s="14" t="s">
        <v>9</v>
      </c>
      <c r="D97" s="15">
        <v>43395</v>
      </c>
      <c r="E97" s="16" t="s">
        <v>10</v>
      </c>
      <c r="F97" s="26">
        <v>5279</v>
      </c>
      <c r="G97" s="17" t="s">
        <v>396</v>
      </c>
      <c r="H97" s="26">
        <v>95</v>
      </c>
      <c r="I97" s="26">
        <f t="shared" si="3"/>
        <v>269</v>
      </c>
      <c r="J97" s="18" t="s">
        <v>435</v>
      </c>
      <c r="K97" s="27">
        <f t="shared" si="4"/>
        <v>132</v>
      </c>
      <c r="L97" s="28">
        <f t="shared" si="5"/>
        <v>5548</v>
      </c>
    </row>
    <row r="98" spans="2:12">
      <c r="B98" s="13" t="s">
        <v>116</v>
      </c>
      <c r="C98" s="14" t="s">
        <v>9</v>
      </c>
      <c r="D98" s="15">
        <v>43395</v>
      </c>
      <c r="E98" s="16" t="s">
        <v>18</v>
      </c>
      <c r="F98" s="26">
        <v>2764</v>
      </c>
      <c r="G98" s="17" t="s">
        <v>397</v>
      </c>
      <c r="H98" s="26">
        <v>0</v>
      </c>
      <c r="I98" s="26">
        <f t="shared" si="3"/>
        <v>138</v>
      </c>
      <c r="J98" s="18" t="s">
        <v>434</v>
      </c>
      <c r="K98" s="27">
        <f t="shared" si="4"/>
        <v>55</v>
      </c>
      <c r="L98" s="28">
        <f t="shared" si="5"/>
        <v>2902</v>
      </c>
    </row>
    <row r="99" spans="2:12">
      <c r="B99" s="13" t="s">
        <v>117</v>
      </c>
      <c r="C99" s="14" t="s">
        <v>17</v>
      </c>
      <c r="D99" s="15">
        <v>43408</v>
      </c>
      <c r="E99" s="16" t="s">
        <v>450</v>
      </c>
      <c r="F99" s="26">
        <v>9418</v>
      </c>
      <c r="G99" s="17" t="s">
        <v>12</v>
      </c>
      <c r="H99" s="26">
        <v>0</v>
      </c>
      <c r="I99" s="26">
        <f t="shared" si="3"/>
        <v>471</v>
      </c>
      <c r="J99" s="18" t="s">
        <v>439</v>
      </c>
      <c r="K99" s="27">
        <f t="shared" si="4"/>
        <v>330</v>
      </c>
      <c r="L99" s="28">
        <f t="shared" si="5"/>
        <v>9889</v>
      </c>
    </row>
    <row r="100" spans="2:12">
      <c r="B100" s="13" t="s">
        <v>118</v>
      </c>
      <c r="C100" s="14" t="s">
        <v>19</v>
      </c>
      <c r="D100" s="15">
        <v>43409</v>
      </c>
      <c r="E100" s="16" t="s">
        <v>10</v>
      </c>
      <c r="F100" s="26">
        <v>1968</v>
      </c>
      <c r="G100" s="17" t="s">
        <v>399</v>
      </c>
      <c r="H100" s="26">
        <v>59</v>
      </c>
      <c r="I100" s="26">
        <f t="shared" si="3"/>
        <v>101</v>
      </c>
      <c r="J100" s="18" t="s">
        <v>13</v>
      </c>
      <c r="K100" s="27">
        <f t="shared" si="4"/>
        <v>30</v>
      </c>
      <c r="L100" s="28">
        <f t="shared" si="5"/>
        <v>2069</v>
      </c>
    </row>
    <row r="101" spans="2:12">
      <c r="B101" s="13" t="s">
        <v>119</v>
      </c>
      <c r="C101" s="14" t="s">
        <v>19</v>
      </c>
      <c r="D101" s="15">
        <v>43415</v>
      </c>
      <c r="E101" s="16" t="s">
        <v>452</v>
      </c>
      <c r="F101" s="26">
        <v>1865</v>
      </c>
      <c r="G101" s="17" t="s">
        <v>396</v>
      </c>
      <c r="H101" s="26">
        <v>33</v>
      </c>
      <c r="I101" s="26">
        <f t="shared" si="3"/>
        <v>95</v>
      </c>
      <c r="J101" s="18" t="s">
        <v>435</v>
      </c>
      <c r="K101" s="27">
        <f t="shared" si="4"/>
        <v>28</v>
      </c>
      <c r="L101" s="28">
        <f t="shared" si="5"/>
        <v>1960</v>
      </c>
    </row>
    <row r="102" spans="2:12">
      <c r="B102" s="13" t="s">
        <v>120</v>
      </c>
      <c r="C102" s="19" t="s">
        <v>20</v>
      </c>
      <c r="D102" s="15">
        <v>43421</v>
      </c>
      <c r="E102" s="16" t="s">
        <v>10</v>
      </c>
      <c r="F102" s="26">
        <v>9673</v>
      </c>
      <c r="G102" s="17" t="s">
        <v>12</v>
      </c>
      <c r="H102" s="26">
        <v>0</v>
      </c>
      <c r="I102" s="26">
        <f t="shared" si="3"/>
        <v>484</v>
      </c>
      <c r="J102" s="18" t="s">
        <v>434</v>
      </c>
      <c r="K102" s="27">
        <f t="shared" si="4"/>
        <v>339</v>
      </c>
      <c r="L102" s="28">
        <f t="shared" si="5"/>
        <v>10157</v>
      </c>
    </row>
    <row r="103" spans="2:12">
      <c r="B103" s="13" t="s">
        <v>121</v>
      </c>
      <c r="C103" s="14" t="s">
        <v>19</v>
      </c>
      <c r="D103" s="15">
        <v>43423</v>
      </c>
      <c r="E103" s="16" t="s">
        <v>452</v>
      </c>
      <c r="F103" s="26">
        <v>8421</v>
      </c>
      <c r="G103" s="17" t="s">
        <v>11</v>
      </c>
      <c r="H103" s="26">
        <v>252</v>
      </c>
      <c r="I103" s="26">
        <f t="shared" si="3"/>
        <v>434</v>
      </c>
      <c r="J103" s="18" t="s">
        <v>13</v>
      </c>
      <c r="K103" s="27">
        <f t="shared" si="4"/>
        <v>295</v>
      </c>
      <c r="L103" s="28">
        <f t="shared" si="5"/>
        <v>8855</v>
      </c>
    </row>
    <row r="104" spans="2:12">
      <c r="B104" s="13" t="s">
        <v>122</v>
      </c>
      <c r="C104" s="14" t="s">
        <v>9</v>
      </c>
      <c r="D104" s="15">
        <v>43425</v>
      </c>
      <c r="E104" s="16" t="s">
        <v>450</v>
      </c>
      <c r="F104" s="26">
        <v>2755</v>
      </c>
      <c r="G104" s="17" t="s">
        <v>11</v>
      </c>
      <c r="H104" s="26">
        <v>49</v>
      </c>
      <c r="I104" s="26">
        <f t="shared" si="3"/>
        <v>140</v>
      </c>
      <c r="J104" s="18" t="s">
        <v>435</v>
      </c>
      <c r="K104" s="27">
        <f t="shared" si="4"/>
        <v>55</v>
      </c>
      <c r="L104" s="28">
        <f t="shared" si="5"/>
        <v>2895</v>
      </c>
    </row>
    <row r="105" spans="2:12">
      <c r="B105" s="13" t="s">
        <v>123</v>
      </c>
      <c r="C105" s="14" t="s">
        <v>17</v>
      </c>
      <c r="D105" s="15">
        <v>43427</v>
      </c>
      <c r="E105" s="16" t="s">
        <v>451</v>
      </c>
      <c r="F105" s="26">
        <v>2351</v>
      </c>
      <c r="G105" s="17" t="s">
        <v>12</v>
      </c>
      <c r="H105" s="26">
        <v>42</v>
      </c>
      <c r="I105" s="26">
        <f t="shared" si="3"/>
        <v>120</v>
      </c>
      <c r="J105" s="18" t="s">
        <v>435</v>
      </c>
      <c r="K105" s="27">
        <f t="shared" si="4"/>
        <v>47</v>
      </c>
      <c r="L105" s="28">
        <f t="shared" si="5"/>
        <v>2471</v>
      </c>
    </row>
    <row r="106" spans="2:12">
      <c r="B106" s="13" t="s">
        <v>124</v>
      </c>
      <c r="C106" s="16" t="s">
        <v>14</v>
      </c>
      <c r="D106" s="15">
        <v>43430</v>
      </c>
      <c r="E106" s="16" t="s">
        <v>451</v>
      </c>
      <c r="F106" s="26">
        <v>5072</v>
      </c>
      <c r="G106" s="17" t="s">
        <v>399</v>
      </c>
      <c r="H106" s="26">
        <v>91</v>
      </c>
      <c r="I106" s="26">
        <f t="shared" si="3"/>
        <v>258</v>
      </c>
      <c r="J106" s="18" t="s">
        <v>435</v>
      </c>
      <c r="K106" s="27">
        <f t="shared" si="4"/>
        <v>127</v>
      </c>
      <c r="L106" s="28">
        <f t="shared" si="5"/>
        <v>5330</v>
      </c>
    </row>
    <row r="107" spans="2:12">
      <c r="B107" s="13" t="s">
        <v>125</v>
      </c>
      <c r="C107" s="14" t="s">
        <v>16</v>
      </c>
      <c r="D107" s="15">
        <v>43433</v>
      </c>
      <c r="E107" s="16" t="s">
        <v>453</v>
      </c>
      <c r="F107" s="26">
        <v>5219</v>
      </c>
      <c r="G107" s="17" t="s">
        <v>397</v>
      </c>
      <c r="H107" s="26">
        <v>0</v>
      </c>
      <c r="I107" s="26">
        <f t="shared" si="3"/>
        <v>261</v>
      </c>
      <c r="J107" s="18" t="s">
        <v>434</v>
      </c>
      <c r="K107" s="27">
        <f t="shared" si="4"/>
        <v>130</v>
      </c>
      <c r="L107" s="28">
        <f t="shared" si="5"/>
        <v>5480</v>
      </c>
    </row>
    <row r="108" spans="2:12">
      <c r="B108" s="13" t="s">
        <v>126</v>
      </c>
      <c r="C108" s="14" t="s">
        <v>17</v>
      </c>
      <c r="D108" s="15">
        <v>43437</v>
      </c>
      <c r="E108" s="16" t="s">
        <v>452</v>
      </c>
      <c r="F108" s="26">
        <v>9781</v>
      </c>
      <c r="G108" s="17" t="s">
        <v>397</v>
      </c>
      <c r="H108" s="26">
        <v>0</v>
      </c>
      <c r="I108" s="26">
        <f t="shared" si="3"/>
        <v>489</v>
      </c>
      <c r="J108" s="18" t="s">
        <v>434</v>
      </c>
      <c r="K108" s="27">
        <f t="shared" si="4"/>
        <v>342</v>
      </c>
      <c r="L108" s="28">
        <f t="shared" si="5"/>
        <v>10270</v>
      </c>
    </row>
    <row r="109" spans="2:12">
      <c r="B109" s="13" t="s">
        <v>127</v>
      </c>
      <c r="C109" s="14" t="s">
        <v>15</v>
      </c>
      <c r="D109" s="15">
        <v>43441</v>
      </c>
      <c r="E109" s="16" t="s">
        <v>450</v>
      </c>
      <c r="F109" s="26">
        <v>3413</v>
      </c>
      <c r="G109" s="17" t="s">
        <v>11</v>
      </c>
      <c r="H109" s="26">
        <v>102</v>
      </c>
      <c r="I109" s="26">
        <f t="shared" si="3"/>
        <v>176</v>
      </c>
      <c r="J109" s="18" t="s">
        <v>13</v>
      </c>
      <c r="K109" s="27">
        <f t="shared" si="4"/>
        <v>68</v>
      </c>
      <c r="L109" s="28">
        <f t="shared" si="5"/>
        <v>3589</v>
      </c>
    </row>
    <row r="110" spans="2:12">
      <c r="B110" s="13" t="s">
        <v>128</v>
      </c>
      <c r="C110" s="19" t="s">
        <v>20</v>
      </c>
      <c r="D110" s="15">
        <v>43446</v>
      </c>
      <c r="E110" s="16" t="s">
        <v>452</v>
      </c>
      <c r="F110" s="26">
        <v>9555</v>
      </c>
      <c r="G110" s="17" t="s">
        <v>12</v>
      </c>
      <c r="H110" s="26">
        <v>171</v>
      </c>
      <c r="I110" s="26">
        <f t="shared" si="3"/>
        <v>486</v>
      </c>
      <c r="J110" s="18" t="s">
        <v>435</v>
      </c>
      <c r="K110" s="27">
        <f t="shared" si="4"/>
        <v>334</v>
      </c>
      <c r="L110" s="28">
        <f t="shared" si="5"/>
        <v>10041</v>
      </c>
    </row>
    <row r="111" spans="2:12">
      <c r="B111" s="13" t="s">
        <v>129</v>
      </c>
      <c r="C111" s="14" t="s">
        <v>16</v>
      </c>
      <c r="D111" s="15">
        <v>43449</v>
      </c>
      <c r="E111" s="16" t="s">
        <v>451</v>
      </c>
      <c r="F111" s="26">
        <v>3406</v>
      </c>
      <c r="G111" s="17" t="s">
        <v>12</v>
      </c>
      <c r="H111" s="26">
        <v>0</v>
      </c>
      <c r="I111" s="26">
        <f t="shared" si="3"/>
        <v>170</v>
      </c>
      <c r="J111" s="18" t="s">
        <v>439</v>
      </c>
      <c r="K111" s="27">
        <f t="shared" si="4"/>
        <v>68</v>
      </c>
      <c r="L111" s="28">
        <f t="shared" si="5"/>
        <v>3576</v>
      </c>
    </row>
    <row r="112" spans="2:12">
      <c r="B112" s="13" t="s">
        <v>130</v>
      </c>
      <c r="C112" s="14" t="s">
        <v>19</v>
      </c>
      <c r="D112" s="15">
        <v>43453</v>
      </c>
      <c r="E112" s="16" t="s">
        <v>451</v>
      </c>
      <c r="F112" s="26">
        <v>1600</v>
      </c>
      <c r="G112" s="17" t="s">
        <v>11</v>
      </c>
      <c r="H112" s="26">
        <v>28</v>
      </c>
      <c r="I112" s="26">
        <f t="shared" si="3"/>
        <v>81</v>
      </c>
      <c r="J112" s="18" t="s">
        <v>435</v>
      </c>
      <c r="K112" s="27">
        <f t="shared" si="4"/>
        <v>24</v>
      </c>
      <c r="L112" s="28">
        <f t="shared" si="5"/>
        <v>1681</v>
      </c>
    </row>
    <row r="113" spans="2:12">
      <c r="B113" s="13" t="s">
        <v>131</v>
      </c>
      <c r="C113" s="14" t="s">
        <v>19</v>
      </c>
      <c r="D113" s="15">
        <v>43457</v>
      </c>
      <c r="E113" s="16" t="s">
        <v>450</v>
      </c>
      <c r="F113" s="26">
        <v>1490</v>
      </c>
      <c r="G113" s="17" t="s">
        <v>11</v>
      </c>
      <c r="H113" s="26">
        <v>26</v>
      </c>
      <c r="I113" s="26">
        <f t="shared" si="3"/>
        <v>76</v>
      </c>
      <c r="J113" s="18" t="s">
        <v>435</v>
      </c>
      <c r="K113" s="27">
        <f t="shared" si="4"/>
        <v>15</v>
      </c>
      <c r="L113" s="28">
        <f t="shared" si="5"/>
        <v>1566</v>
      </c>
    </row>
    <row r="114" spans="2:12">
      <c r="B114" s="13" t="s">
        <v>132</v>
      </c>
      <c r="C114" s="14" t="s">
        <v>20</v>
      </c>
      <c r="D114" s="15">
        <v>43460</v>
      </c>
      <c r="E114" s="16" t="s">
        <v>452</v>
      </c>
      <c r="F114" s="26">
        <v>9131</v>
      </c>
      <c r="G114" s="17" t="s">
        <v>11</v>
      </c>
      <c r="H114" s="26">
        <v>273</v>
      </c>
      <c r="I114" s="26">
        <f t="shared" si="3"/>
        <v>470</v>
      </c>
      <c r="J114" s="18" t="s">
        <v>13</v>
      </c>
      <c r="K114" s="27">
        <f t="shared" si="4"/>
        <v>320</v>
      </c>
      <c r="L114" s="28">
        <f t="shared" si="5"/>
        <v>9601</v>
      </c>
    </row>
    <row r="115" spans="2:12">
      <c r="B115" s="13" t="s">
        <v>133</v>
      </c>
      <c r="C115" s="14" t="s">
        <v>17</v>
      </c>
      <c r="D115" s="15">
        <v>43461</v>
      </c>
      <c r="E115" s="16" t="s">
        <v>10</v>
      </c>
      <c r="F115" s="26">
        <v>6682</v>
      </c>
      <c r="G115" s="17" t="s">
        <v>397</v>
      </c>
      <c r="H115" s="26">
        <v>0</v>
      </c>
      <c r="I115" s="26">
        <f t="shared" si="3"/>
        <v>334</v>
      </c>
      <c r="J115" s="18" t="s">
        <v>439</v>
      </c>
      <c r="K115" s="27">
        <f t="shared" si="4"/>
        <v>200</v>
      </c>
      <c r="L115" s="28">
        <f t="shared" si="5"/>
        <v>7016</v>
      </c>
    </row>
    <row r="116" spans="2:12">
      <c r="B116" s="13" t="s">
        <v>134</v>
      </c>
      <c r="C116" s="14" t="s">
        <v>19</v>
      </c>
      <c r="D116" s="15">
        <v>43468</v>
      </c>
      <c r="E116" s="16" t="s">
        <v>10</v>
      </c>
      <c r="F116" s="26">
        <v>4586</v>
      </c>
      <c r="G116" s="17" t="s">
        <v>11</v>
      </c>
      <c r="H116" s="26">
        <v>0</v>
      </c>
      <c r="I116" s="26">
        <f t="shared" si="3"/>
        <v>229</v>
      </c>
      <c r="J116" s="18" t="s">
        <v>434</v>
      </c>
      <c r="K116" s="27">
        <f t="shared" si="4"/>
        <v>115</v>
      </c>
      <c r="L116" s="28">
        <f t="shared" si="5"/>
        <v>4815</v>
      </c>
    </row>
    <row r="117" spans="2:12">
      <c r="B117" s="13" t="s">
        <v>135</v>
      </c>
      <c r="C117" s="14" t="s">
        <v>9</v>
      </c>
      <c r="D117" s="15">
        <v>43468</v>
      </c>
      <c r="E117" s="16" t="s">
        <v>450</v>
      </c>
      <c r="F117" s="26">
        <v>9472</v>
      </c>
      <c r="G117" s="17" t="s">
        <v>12</v>
      </c>
      <c r="H117" s="26">
        <v>0</v>
      </c>
      <c r="I117" s="26">
        <f t="shared" si="3"/>
        <v>474</v>
      </c>
      <c r="J117" s="18" t="s">
        <v>439</v>
      </c>
      <c r="K117" s="27">
        <f t="shared" si="4"/>
        <v>332</v>
      </c>
      <c r="L117" s="28">
        <f t="shared" si="5"/>
        <v>9946</v>
      </c>
    </row>
    <row r="118" spans="2:12">
      <c r="B118" s="13" t="s">
        <v>136</v>
      </c>
      <c r="C118" s="19" t="s">
        <v>20</v>
      </c>
      <c r="D118" s="15">
        <v>43473</v>
      </c>
      <c r="E118" s="16" t="s">
        <v>18</v>
      </c>
      <c r="F118" s="26">
        <v>5726</v>
      </c>
      <c r="G118" s="17" t="s">
        <v>12</v>
      </c>
      <c r="H118" s="26">
        <v>103</v>
      </c>
      <c r="I118" s="26">
        <f t="shared" si="3"/>
        <v>291</v>
      </c>
      <c r="J118" s="18" t="s">
        <v>435</v>
      </c>
      <c r="K118" s="27">
        <f t="shared" si="4"/>
        <v>143</v>
      </c>
      <c r="L118" s="28">
        <f t="shared" si="5"/>
        <v>6017</v>
      </c>
    </row>
    <row r="119" spans="2:12">
      <c r="B119" s="13" t="s">
        <v>137</v>
      </c>
      <c r="C119" s="14" t="s">
        <v>9</v>
      </c>
      <c r="D119" s="15">
        <v>43476</v>
      </c>
      <c r="E119" s="16" t="s">
        <v>18</v>
      </c>
      <c r="F119" s="26">
        <v>7941</v>
      </c>
      <c r="G119" s="17" t="s">
        <v>399</v>
      </c>
      <c r="H119" s="26">
        <v>238</v>
      </c>
      <c r="I119" s="26">
        <f t="shared" si="3"/>
        <v>409</v>
      </c>
      <c r="J119" s="18" t="s">
        <v>13</v>
      </c>
      <c r="K119" s="27">
        <f t="shared" si="4"/>
        <v>238</v>
      </c>
      <c r="L119" s="28">
        <f t="shared" si="5"/>
        <v>8350</v>
      </c>
    </row>
    <row r="120" spans="2:12">
      <c r="B120" s="13" t="s">
        <v>138</v>
      </c>
      <c r="C120" s="14" t="s">
        <v>16</v>
      </c>
      <c r="D120" s="15">
        <v>43479</v>
      </c>
      <c r="E120" s="16" t="s">
        <v>453</v>
      </c>
      <c r="F120" s="26">
        <v>6780</v>
      </c>
      <c r="G120" s="17" t="s">
        <v>12</v>
      </c>
      <c r="H120" s="26">
        <v>203</v>
      </c>
      <c r="I120" s="26">
        <f t="shared" si="3"/>
        <v>349</v>
      </c>
      <c r="J120" s="18" t="s">
        <v>13</v>
      </c>
      <c r="K120" s="27">
        <f t="shared" si="4"/>
        <v>203</v>
      </c>
      <c r="L120" s="28">
        <f t="shared" si="5"/>
        <v>7129</v>
      </c>
    </row>
    <row r="121" spans="2:12">
      <c r="B121" s="13" t="s">
        <v>139</v>
      </c>
      <c r="C121" s="14" t="s">
        <v>17</v>
      </c>
      <c r="D121" s="15">
        <v>43480</v>
      </c>
      <c r="E121" s="16" t="s">
        <v>453</v>
      </c>
      <c r="F121" s="26">
        <v>8199</v>
      </c>
      <c r="G121" s="17" t="s">
        <v>12</v>
      </c>
      <c r="H121" s="26">
        <v>0</v>
      </c>
      <c r="I121" s="26">
        <f t="shared" si="3"/>
        <v>410</v>
      </c>
      <c r="J121" s="18" t="s">
        <v>439</v>
      </c>
      <c r="K121" s="27">
        <f t="shared" si="4"/>
        <v>287</v>
      </c>
      <c r="L121" s="28">
        <f t="shared" si="5"/>
        <v>8609</v>
      </c>
    </row>
    <row r="122" spans="2:12">
      <c r="B122" s="13" t="s">
        <v>140</v>
      </c>
      <c r="C122" s="14" t="s">
        <v>20</v>
      </c>
      <c r="D122" s="15">
        <v>43480</v>
      </c>
      <c r="E122" s="16" t="s">
        <v>10</v>
      </c>
      <c r="F122" s="26">
        <v>3217</v>
      </c>
      <c r="G122" s="17" t="s">
        <v>12</v>
      </c>
      <c r="H122" s="26">
        <v>57</v>
      </c>
      <c r="I122" s="26">
        <f t="shared" si="3"/>
        <v>164</v>
      </c>
      <c r="J122" s="18" t="s">
        <v>435</v>
      </c>
      <c r="K122" s="27">
        <f t="shared" si="4"/>
        <v>64</v>
      </c>
      <c r="L122" s="28">
        <f t="shared" si="5"/>
        <v>3381</v>
      </c>
    </row>
    <row r="123" spans="2:12">
      <c r="B123" s="13" t="s">
        <v>141</v>
      </c>
      <c r="C123" s="14" t="s">
        <v>17</v>
      </c>
      <c r="D123" s="15">
        <v>43482</v>
      </c>
      <c r="E123" s="16" t="s">
        <v>18</v>
      </c>
      <c r="F123" s="26">
        <v>2570</v>
      </c>
      <c r="G123" s="17" t="s">
        <v>398</v>
      </c>
      <c r="H123" s="26">
        <v>46</v>
      </c>
      <c r="I123" s="26">
        <f t="shared" si="3"/>
        <v>131</v>
      </c>
      <c r="J123" s="18" t="s">
        <v>435</v>
      </c>
      <c r="K123" s="27">
        <f t="shared" si="4"/>
        <v>51</v>
      </c>
      <c r="L123" s="28">
        <f t="shared" si="5"/>
        <v>2701</v>
      </c>
    </row>
    <row r="124" spans="2:12">
      <c r="B124" s="13" t="s">
        <v>142</v>
      </c>
      <c r="C124" s="14" t="s">
        <v>15</v>
      </c>
      <c r="D124" s="15">
        <v>43488</v>
      </c>
      <c r="E124" s="16" t="s">
        <v>453</v>
      </c>
      <c r="F124" s="26">
        <v>1742</v>
      </c>
      <c r="G124" s="17" t="s">
        <v>399</v>
      </c>
      <c r="H124" s="26">
        <v>34</v>
      </c>
      <c r="I124" s="26">
        <f t="shared" si="3"/>
        <v>89</v>
      </c>
      <c r="J124" s="18" t="s">
        <v>439</v>
      </c>
      <c r="K124" s="27">
        <f t="shared" si="4"/>
        <v>26</v>
      </c>
      <c r="L124" s="28">
        <f t="shared" si="5"/>
        <v>1831</v>
      </c>
    </row>
    <row r="125" spans="2:12">
      <c r="B125" s="13" t="s">
        <v>143</v>
      </c>
      <c r="C125" s="16" t="s">
        <v>14</v>
      </c>
      <c r="D125" s="15">
        <v>43488</v>
      </c>
      <c r="E125" s="16" t="s">
        <v>452</v>
      </c>
      <c r="F125" s="26">
        <v>7320</v>
      </c>
      <c r="G125" s="17" t="s">
        <v>399</v>
      </c>
      <c r="H125" s="26">
        <v>0</v>
      </c>
      <c r="I125" s="26">
        <f t="shared" si="3"/>
        <v>366</v>
      </c>
      <c r="J125" s="18" t="s">
        <v>434</v>
      </c>
      <c r="K125" s="27">
        <f t="shared" si="4"/>
        <v>220</v>
      </c>
      <c r="L125" s="28">
        <f t="shared" si="5"/>
        <v>7686</v>
      </c>
    </row>
    <row r="126" spans="2:12">
      <c r="B126" s="13" t="s">
        <v>144</v>
      </c>
      <c r="C126" s="14" t="s">
        <v>17</v>
      </c>
      <c r="D126" s="15">
        <v>43494</v>
      </c>
      <c r="E126" s="16" t="s">
        <v>10</v>
      </c>
      <c r="F126" s="26">
        <v>2445</v>
      </c>
      <c r="G126" s="17" t="s">
        <v>11</v>
      </c>
      <c r="H126" s="26">
        <v>48</v>
      </c>
      <c r="I126" s="26">
        <f t="shared" si="3"/>
        <v>125</v>
      </c>
      <c r="J126" s="18" t="s">
        <v>439</v>
      </c>
      <c r="K126" s="27">
        <f t="shared" si="4"/>
        <v>49</v>
      </c>
      <c r="L126" s="28">
        <f t="shared" si="5"/>
        <v>2570</v>
      </c>
    </row>
    <row r="127" spans="2:12">
      <c r="B127" s="13" t="s">
        <v>145</v>
      </c>
      <c r="C127" s="14" t="s">
        <v>15</v>
      </c>
      <c r="D127" s="15">
        <v>43502</v>
      </c>
      <c r="E127" s="16" t="s">
        <v>450</v>
      </c>
      <c r="F127" s="26">
        <v>3292</v>
      </c>
      <c r="G127" s="17" t="s">
        <v>396</v>
      </c>
      <c r="H127" s="26">
        <v>0</v>
      </c>
      <c r="I127" s="26">
        <f t="shared" si="3"/>
        <v>165</v>
      </c>
      <c r="J127" s="18" t="s">
        <v>434</v>
      </c>
      <c r="K127" s="27">
        <f t="shared" si="4"/>
        <v>66</v>
      </c>
      <c r="L127" s="28">
        <f t="shared" si="5"/>
        <v>3457</v>
      </c>
    </row>
    <row r="128" spans="2:12">
      <c r="B128" s="13" t="s">
        <v>146</v>
      </c>
      <c r="C128" s="16" t="s">
        <v>14</v>
      </c>
      <c r="D128" s="15">
        <v>43504</v>
      </c>
      <c r="E128" s="16" t="s">
        <v>451</v>
      </c>
      <c r="F128" s="26">
        <v>4567</v>
      </c>
      <c r="G128" s="17" t="s">
        <v>399</v>
      </c>
      <c r="H128" s="26">
        <v>0</v>
      </c>
      <c r="I128" s="26">
        <f t="shared" si="3"/>
        <v>228</v>
      </c>
      <c r="J128" s="18" t="s">
        <v>439</v>
      </c>
      <c r="K128" s="27">
        <f t="shared" si="4"/>
        <v>114</v>
      </c>
      <c r="L128" s="28">
        <f t="shared" si="5"/>
        <v>4795</v>
      </c>
    </row>
    <row r="129" spans="2:12">
      <c r="B129" s="13" t="s">
        <v>147</v>
      </c>
      <c r="C129" s="14" t="s">
        <v>19</v>
      </c>
      <c r="D129" s="15">
        <v>43505</v>
      </c>
      <c r="E129" s="16" t="s">
        <v>10</v>
      </c>
      <c r="F129" s="26">
        <v>1064</v>
      </c>
      <c r="G129" s="17" t="s">
        <v>12</v>
      </c>
      <c r="H129" s="26">
        <v>19</v>
      </c>
      <c r="I129" s="26">
        <f t="shared" si="3"/>
        <v>54</v>
      </c>
      <c r="J129" s="18" t="s">
        <v>435</v>
      </c>
      <c r="K129" s="27">
        <f t="shared" si="4"/>
        <v>11</v>
      </c>
      <c r="L129" s="28">
        <f t="shared" si="5"/>
        <v>1118</v>
      </c>
    </row>
    <row r="130" spans="2:12">
      <c r="B130" s="13" t="s">
        <v>148</v>
      </c>
      <c r="C130" s="14" t="s">
        <v>15</v>
      </c>
      <c r="D130" s="15">
        <v>43512</v>
      </c>
      <c r="E130" s="16" t="s">
        <v>452</v>
      </c>
      <c r="F130" s="26">
        <v>5801</v>
      </c>
      <c r="G130" s="17" t="s">
        <v>11</v>
      </c>
      <c r="H130" s="26">
        <v>104</v>
      </c>
      <c r="I130" s="26">
        <f t="shared" si="3"/>
        <v>295</v>
      </c>
      <c r="J130" s="18" t="s">
        <v>435</v>
      </c>
      <c r="K130" s="27">
        <f t="shared" si="4"/>
        <v>145</v>
      </c>
      <c r="L130" s="28">
        <f t="shared" si="5"/>
        <v>6096</v>
      </c>
    </row>
    <row r="131" spans="2:12">
      <c r="B131" s="13" t="s">
        <v>149</v>
      </c>
      <c r="C131" s="14" t="s">
        <v>19</v>
      </c>
      <c r="D131" s="15">
        <v>43513</v>
      </c>
      <c r="E131" s="16" t="s">
        <v>453</v>
      </c>
      <c r="F131" s="26">
        <v>2020</v>
      </c>
      <c r="G131" s="17" t="s">
        <v>397</v>
      </c>
      <c r="H131" s="26">
        <v>36</v>
      </c>
      <c r="I131" s="26">
        <f t="shared" ref="I131:I194" si="6">ROUND((F131+H131)*0.05,0)</f>
        <v>103</v>
      </c>
      <c r="J131" s="18" t="s">
        <v>435</v>
      </c>
      <c r="K131" s="27">
        <f t="shared" ref="K131:K194" si="7">ROUND(VLOOKUP(F131,獎金比例對照表,2,TRUE)*F131,0)</f>
        <v>40</v>
      </c>
      <c r="L131" s="28">
        <f t="shared" ref="L131:L194" si="8">F131+I131</f>
        <v>2123</v>
      </c>
    </row>
    <row r="132" spans="2:12">
      <c r="B132" s="13" t="s">
        <v>150</v>
      </c>
      <c r="C132" s="14" t="s">
        <v>9</v>
      </c>
      <c r="D132" s="15">
        <v>43513</v>
      </c>
      <c r="E132" s="16" t="s">
        <v>10</v>
      </c>
      <c r="F132" s="26">
        <v>8998</v>
      </c>
      <c r="G132" s="17" t="s">
        <v>12</v>
      </c>
      <c r="H132" s="26">
        <v>0</v>
      </c>
      <c r="I132" s="26">
        <f t="shared" si="6"/>
        <v>450</v>
      </c>
      <c r="J132" s="18" t="s">
        <v>439</v>
      </c>
      <c r="K132" s="27">
        <f t="shared" si="7"/>
        <v>315</v>
      </c>
      <c r="L132" s="28">
        <f t="shared" si="8"/>
        <v>9448</v>
      </c>
    </row>
    <row r="133" spans="2:12">
      <c r="B133" s="13" t="s">
        <v>151</v>
      </c>
      <c r="C133" s="14" t="s">
        <v>16</v>
      </c>
      <c r="D133" s="15">
        <v>43515</v>
      </c>
      <c r="E133" s="16" t="s">
        <v>453</v>
      </c>
      <c r="F133" s="26">
        <v>9374</v>
      </c>
      <c r="G133" s="17" t="s">
        <v>12</v>
      </c>
      <c r="H133" s="26">
        <v>168</v>
      </c>
      <c r="I133" s="26">
        <f t="shared" si="6"/>
        <v>477</v>
      </c>
      <c r="J133" s="18" t="s">
        <v>435</v>
      </c>
      <c r="K133" s="27">
        <f t="shared" si="7"/>
        <v>328</v>
      </c>
      <c r="L133" s="28">
        <f t="shared" si="8"/>
        <v>9851</v>
      </c>
    </row>
    <row r="134" spans="2:12">
      <c r="B134" s="13" t="s">
        <v>152</v>
      </c>
      <c r="C134" s="14" t="s">
        <v>17</v>
      </c>
      <c r="D134" s="15">
        <v>43515</v>
      </c>
      <c r="E134" s="16" t="s">
        <v>18</v>
      </c>
      <c r="F134" s="26">
        <v>5444</v>
      </c>
      <c r="G134" s="17" t="s">
        <v>11</v>
      </c>
      <c r="H134" s="26">
        <v>97</v>
      </c>
      <c r="I134" s="26">
        <f t="shared" si="6"/>
        <v>277</v>
      </c>
      <c r="J134" s="18" t="s">
        <v>435</v>
      </c>
      <c r="K134" s="27">
        <f t="shared" si="7"/>
        <v>136</v>
      </c>
      <c r="L134" s="28">
        <f t="shared" si="8"/>
        <v>5721</v>
      </c>
    </row>
    <row r="135" spans="2:12">
      <c r="B135" s="13" t="s">
        <v>153</v>
      </c>
      <c r="C135" s="14" t="s">
        <v>16</v>
      </c>
      <c r="D135" s="15">
        <v>43523</v>
      </c>
      <c r="E135" s="16" t="s">
        <v>10</v>
      </c>
      <c r="F135" s="26">
        <v>7093</v>
      </c>
      <c r="G135" s="17" t="s">
        <v>12</v>
      </c>
      <c r="H135" s="26">
        <v>0</v>
      </c>
      <c r="I135" s="26">
        <f t="shared" si="6"/>
        <v>355</v>
      </c>
      <c r="J135" s="18" t="s">
        <v>439</v>
      </c>
      <c r="K135" s="27">
        <f t="shared" si="7"/>
        <v>213</v>
      </c>
      <c r="L135" s="28">
        <f t="shared" si="8"/>
        <v>7448</v>
      </c>
    </row>
    <row r="136" spans="2:12">
      <c r="B136" s="13" t="s">
        <v>154</v>
      </c>
      <c r="C136" s="14" t="s">
        <v>15</v>
      </c>
      <c r="D136" s="15">
        <v>43523</v>
      </c>
      <c r="E136" s="16" t="s">
        <v>453</v>
      </c>
      <c r="F136" s="26">
        <v>1528</v>
      </c>
      <c r="G136" s="17" t="s">
        <v>12</v>
      </c>
      <c r="H136" s="26">
        <v>0</v>
      </c>
      <c r="I136" s="26">
        <f t="shared" si="6"/>
        <v>76</v>
      </c>
      <c r="J136" s="18" t="s">
        <v>434</v>
      </c>
      <c r="K136" s="27">
        <f t="shared" si="7"/>
        <v>23</v>
      </c>
      <c r="L136" s="28">
        <f t="shared" si="8"/>
        <v>1604</v>
      </c>
    </row>
    <row r="137" spans="2:12">
      <c r="B137" s="13" t="s">
        <v>155</v>
      </c>
      <c r="C137" s="14" t="s">
        <v>19</v>
      </c>
      <c r="D137" s="15">
        <v>43523</v>
      </c>
      <c r="E137" s="16" t="s">
        <v>450</v>
      </c>
      <c r="F137" s="26">
        <v>9383</v>
      </c>
      <c r="G137" s="17" t="s">
        <v>11</v>
      </c>
      <c r="H137" s="26">
        <v>0</v>
      </c>
      <c r="I137" s="26">
        <f t="shared" si="6"/>
        <v>469</v>
      </c>
      <c r="J137" s="18" t="s">
        <v>434</v>
      </c>
      <c r="K137" s="27">
        <f t="shared" si="7"/>
        <v>328</v>
      </c>
      <c r="L137" s="28">
        <f t="shared" si="8"/>
        <v>9852</v>
      </c>
    </row>
    <row r="138" spans="2:12">
      <c r="B138" s="13" t="s">
        <v>156</v>
      </c>
      <c r="C138" s="14" t="s">
        <v>15</v>
      </c>
      <c r="D138" s="15">
        <v>43525</v>
      </c>
      <c r="E138" s="16" t="s">
        <v>452</v>
      </c>
      <c r="F138" s="26">
        <v>7121</v>
      </c>
      <c r="G138" s="17" t="s">
        <v>12</v>
      </c>
      <c r="H138" s="26">
        <v>128</v>
      </c>
      <c r="I138" s="26">
        <f t="shared" si="6"/>
        <v>362</v>
      </c>
      <c r="J138" s="18" t="s">
        <v>435</v>
      </c>
      <c r="K138" s="27">
        <f t="shared" si="7"/>
        <v>214</v>
      </c>
      <c r="L138" s="28">
        <f t="shared" si="8"/>
        <v>7483</v>
      </c>
    </row>
    <row r="139" spans="2:12">
      <c r="B139" s="13" t="s">
        <v>157</v>
      </c>
      <c r="C139" s="14" t="s">
        <v>15</v>
      </c>
      <c r="D139" s="15">
        <v>43526</v>
      </c>
      <c r="E139" s="16" t="s">
        <v>452</v>
      </c>
      <c r="F139" s="26">
        <v>8507</v>
      </c>
      <c r="G139" s="17" t="s">
        <v>12</v>
      </c>
      <c r="H139" s="26">
        <v>0</v>
      </c>
      <c r="I139" s="26">
        <f t="shared" si="6"/>
        <v>425</v>
      </c>
      <c r="J139" s="18" t="s">
        <v>439</v>
      </c>
      <c r="K139" s="27">
        <f t="shared" si="7"/>
        <v>298</v>
      </c>
      <c r="L139" s="28">
        <f t="shared" si="8"/>
        <v>8932</v>
      </c>
    </row>
    <row r="140" spans="2:12">
      <c r="B140" s="13" t="s">
        <v>158</v>
      </c>
      <c r="C140" s="14" t="s">
        <v>15</v>
      </c>
      <c r="D140" s="15">
        <v>43528</v>
      </c>
      <c r="E140" s="16" t="s">
        <v>450</v>
      </c>
      <c r="F140" s="26">
        <v>9074</v>
      </c>
      <c r="G140" s="17" t="s">
        <v>11</v>
      </c>
      <c r="H140" s="26">
        <v>0</v>
      </c>
      <c r="I140" s="26">
        <f t="shared" si="6"/>
        <v>454</v>
      </c>
      <c r="J140" s="18" t="s">
        <v>434</v>
      </c>
      <c r="K140" s="27">
        <f t="shared" si="7"/>
        <v>318</v>
      </c>
      <c r="L140" s="28">
        <f t="shared" si="8"/>
        <v>9528</v>
      </c>
    </row>
    <row r="141" spans="2:12">
      <c r="B141" s="13" t="s">
        <v>159</v>
      </c>
      <c r="C141" s="14" t="s">
        <v>17</v>
      </c>
      <c r="D141" s="15">
        <v>43533</v>
      </c>
      <c r="E141" s="16" t="s">
        <v>450</v>
      </c>
      <c r="F141" s="26">
        <v>2310</v>
      </c>
      <c r="G141" s="17" t="s">
        <v>397</v>
      </c>
      <c r="H141" s="26">
        <v>0</v>
      </c>
      <c r="I141" s="26">
        <f t="shared" si="6"/>
        <v>116</v>
      </c>
      <c r="J141" s="18" t="s">
        <v>434</v>
      </c>
      <c r="K141" s="27">
        <f t="shared" si="7"/>
        <v>46</v>
      </c>
      <c r="L141" s="28">
        <f t="shared" si="8"/>
        <v>2426</v>
      </c>
    </row>
    <row r="142" spans="2:12">
      <c r="B142" s="13" t="s">
        <v>160</v>
      </c>
      <c r="C142" s="14" t="s">
        <v>19</v>
      </c>
      <c r="D142" s="15">
        <v>43534</v>
      </c>
      <c r="E142" s="16" t="s">
        <v>451</v>
      </c>
      <c r="F142" s="26">
        <v>4001</v>
      </c>
      <c r="G142" s="17" t="s">
        <v>399</v>
      </c>
      <c r="H142" s="26">
        <v>0</v>
      </c>
      <c r="I142" s="26">
        <f t="shared" si="6"/>
        <v>200</v>
      </c>
      <c r="J142" s="18" t="s">
        <v>439</v>
      </c>
      <c r="K142" s="27">
        <f t="shared" si="7"/>
        <v>100</v>
      </c>
      <c r="L142" s="28">
        <f t="shared" si="8"/>
        <v>4201</v>
      </c>
    </row>
    <row r="143" spans="2:12">
      <c r="B143" s="13" t="s">
        <v>161</v>
      </c>
      <c r="C143" s="14" t="s">
        <v>9</v>
      </c>
      <c r="D143" s="15">
        <v>43535</v>
      </c>
      <c r="E143" s="16" t="s">
        <v>450</v>
      </c>
      <c r="F143" s="26">
        <v>7099</v>
      </c>
      <c r="G143" s="17" t="s">
        <v>12</v>
      </c>
      <c r="H143" s="26">
        <v>0</v>
      </c>
      <c r="I143" s="26">
        <f t="shared" si="6"/>
        <v>355</v>
      </c>
      <c r="J143" s="18" t="s">
        <v>439</v>
      </c>
      <c r="K143" s="27">
        <f t="shared" si="7"/>
        <v>213</v>
      </c>
      <c r="L143" s="28">
        <f t="shared" si="8"/>
        <v>7454</v>
      </c>
    </row>
    <row r="144" spans="2:12">
      <c r="B144" s="13" t="s">
        <v>162</v>
      </c>
      <c r="C144" s="14" t="s">
        <v>15</v>
      </c>
      <c r="D144" s="15">
        <v>43536</v>
      </c>
      <c r="E144" s="16" t="s">
        <v>18</v>
      </c>
      <c r="F144" s="26">
        <v>4662</v>
      </c>
      <c r="G144" s="17" t="s">
        <v>397</v>
      </c>
      <c r="H144" s="26">
        <v>139</v>
      </c>
      <c r="I144" s="26">
        <f t="shared" si="6"/>
        <v>240</v>
      </c>
      <c r="J144" s="18" t="s">
        <v>13</v>
      </c>
      <c r="K144" s="27">
        <f t="shared" si="7"/>
        <v>117</v>
      </c>
      <c r="L144" s="28">
        <f t="shared" si="8"/>
        <v>4902</v>
      </c>
    </row>
    <row r="145" spans="2:12">
      <c r="B145" s="13" t="s">
        <v>163</v>
      </c>
      <c r="C145" s="14" t="s">
        <v>9</v>
      </c>
      <c r="D145" s="15">
        <v>43538</v>
      </c>
      <c r="E145" s="16" t="s">
        <v>451</v>
      </c>
      <c r="F145" s="26">
        <v>840</v>
      </c>
      <c r="G145" s="17" t="s">
        <v>397</v>
      </c>
      <c r="H145" s="26">
        <v>16</v>
      </c>
      <c r="I145" s="26">
        <f t="shared" si="6"/>
        <v>43</v>
      </c>
      <c r="J145" s="18" t="s">
        <v>439</v>
      </c>
      <c r="K145" s="27">
        <f t="shared" si="7"/>
        <v>0</v>
      </c>
      <c r="L145" s="28">
        <f t="shared" si="8"/>
        <v>883</v>
      </c>
    </row>
    <row r="146" spans="2:12">
      <c r="B146" s="13" t="s">
        <v>164</v>
      </c>
      <c r="C146" s="14" t="s">
        <v>19</v>
      </c>
      <c r="D146" s="15">
        <v>43546</v>
      </c>
      <c r="E146" s="16" t="s">
        <v>453</v>
      </c>
      <c r="F146" s="26">
        <v>3988</v>
      </c>
      <c r="G146" s="17" t="s">
        <v>12</v>
      </c>
      <c r="H146" s="26">
        <v>71</v>
      </c>
      <c r="I146" s="26">
        <f t="shared" si="6"/>
        <v>203</v>
      </c>
      <c r="J146" s="18" t="s">
        <v>435</v>
      </c>
      <c r="K146" s="27">
        <f t="shared" si="7"/>
        <v>100</v>
      </c>
      <c r="L146" s="28">
        <f t="shared" si="8"/>
        <v>4191</v>
      </c>
    </row>
    <row r="147" spans="2:12">
      <c r="B147" s="13" t="s">
        <v>165</v>
      </c>
      <c r="C147" s="14" t="s">
        <v>19</v>
      </c>
      <c r="D147" s="15">
        <v>43551</v>
      </c>
      <c r="E147" s="16" t="s">
        <v>453</v>
      </c>
      <c r="F147" s="26">
        <v>2037</v>
      </c>
      <c r="G147" s="17" t="s">
        <v>11</v>
      </c>
      <c r="H147" s="26">
        <v>40</v>
      </c>
      <c r="I147" s="26">
        <f t="shared" si="6"/>
        <v>104</v>
      </c>
      <c r="J147" s="18" t="s">
        <v>439</v>
      </c>
      <c r="K147" s="27">
        <f t="shared" si="7"/>
        <v>41</v>
      </c>
      <c r="L147" s="28">
        <f t="shared" si="8"/>
        <v>2141</v>
      </c>
    </row>
    <row r="148" spans="2:12">
      <c r="B148" s="13" t="s">
        <v>166</v>
      </c>
      <c r="C148" s="16" t="s">
        <v>14</v>
      </c>
      <c r="D148" s="15">
        <v>43557</v>
      </c>
      <c r="E148" s="16" t="s">
        <v>451</v>
      </c>
      <c r="F148" s="26">
        <v>4759</v>
      </c>
      <c r="G148" s="17" t="s">
        <v>396</v>
      </c>
      <c r="H148" s="26">
        <v>142</v>
      </c>
      <c r="I148" s="26">
        <f t="shared" si="6"/>
        <v>245</v>
      </c>
      <c r="J148" s="18" t="s">
        <v>13</v>
      </c>
      <c r="K148" s="27">
        <f t="shared" si="7"/>
        <v>119</v>
      </c>
      <c r="L148" s="28">
        <f t="shared" si="8"/>
        <v>5004</v>
      </c>
    </row>
    <row r="149" spans="2:12">
      <c r="B149" s="13" t="s">
        <v>167</v>
      </c>
      <c r="C149" s="16" t="s">
        <v>14</v>
      </c>
      <c r="D149" s="15">
        <v>43563</v>
      </c>
      <c r="E149" s="16" t="s">
        <v>10</v>
      </c>
      <c r="F149" s="26">
        <v>1058</v>
      </c>
      <c r="G149" s="17" t="s">
        <v>11</v>
      </c>
      <c r="H149" s="26">
        <v>0</v>
      </c>
      <c r="I149" s="26">
        <f t="shared" si="6"/>
        <v>53</v>
      </c>
      <c r="J149" s="18" t="s">
        <v>434</v>
      </c>
      <c r="K149" s="27">
        <f t="shared" si="7"/>
        <v>11</v>
      </c>
      <c r="L149" s="28">
        <f t="shared" si="8"/>
        <v>1111</v>
      </c>
    </row>
    <row r="150" spans="2:12">
      <c r="B150" s="13" t="s">
        <v>168</v>
      </c>
      <c r="C150" s="14" t="s">
        <v>16</v>
      </c>
      <c r="D150" s="15">
        <v>43565</v>
      </c>
      <c r="E150" s="16" t="s">
        <v>450</v>
      </c>
      <c r="F150" s="26">
        <v>7247</v>
      </c>
      <c r="G150" s="17" t="s">
        <v>399</v>
      </c>
      <c r="H150" s="26">
        <v>0</v>
      </c>
      <c r="I150" s="26">
        <f t="shared" si="6"/>
        <v>362</v>
      </c>
      <c r="J150" s="18" t="s">
        <v>434</v>
      </c>
      <c r="K150" s="27">
        <f t="shared" si="7"/>
        <v>217</v>
      </c>
      <c r="L150" s="28">
        <f t="shared" si="8"/>
        <v>7609</v>
      </c>
    </row>
    <row r="151" spans="2:12">
      <c r="B151" s="13" t="s">
        <v>169</v>
      </c>
      <c r="C151" s="14" t="s">
        <v>15</v>
      </c>
      <c r="D151" s="15">
        <v>43566</v>
      </c>
      <c r="E151" s="16" t="s">
        <v>450</v>
      </c>
      <c r="F151" s="26">
        <v>3496</v>
      </c>
      <c r="G151" s="17" t="s">
        <v>396</v>
      </c>
      <c r="H151" s="26">
        <v>0</v>
      </c>
      <c r="I151" s="26">
        <f t="shared" si="6"/>
        <v>175</v>
      </c>
      <c r="J151" s="18" t="s">
        <v>434</v>
      </c>
      <c r="K151" s="27">
        <f t="shared" si="7"/>
        <v>70</v>
      </c>
      <c r="L151" s="28">
        <f t="shared" si="8"/>
        <v>3671</v>
      </c>
    </row>
    <row r="152" spans="2:12">
      <c r="B152" s="13" t="s">
        <v>170</v>
      </c>
      <c r="C152" s="14" t="s">
        <v>19</v>
      </c>
      <c r="D152" s="15">
        <v>43567</v>
      </c>
      <c r="E152" s="16" t="s">
        <v>18</v>
      </c>
      <c r="F152" s="26">
        <v>2148</v>
      </c>
      <c r="G152" s="17" t="s">
        <v>12</v>
      </c>
      <c r="H152" s="26">
        <v>64</v>
      </c>
      <c r="I152" s="26">
        <f t="shared" si="6"/>
        <v>111</v>
      </c>
      <c r="J152" s="18" t="s">
        <v>13</v>
      </c>
      <c r="K152" s="27">
        <f t="shared" si="7"/>
        <v>43</v>
      </c>
      <c r="L152" s="28">
        <f t="shared" si="8"/>
        <v>2259</v>
      </c>
    </row>
    <row r="153" spans="2:12">
      <c r="B153" s="13" t="s">
        <v>171</v>
      </c>
      <c r="C153" s="14" t="s">
        <v>16</v>
      </c>
      <c r="D153" s="15">
        <v>43568</v>
      </c>
      <c r="E153" s="16" t="s">
        <v>450</v>
      </c>
      <c r="F153" s="26">
        <v>354</v>
      </c>
      <c r="G153" s="17" t="s">
        <v>397</v>
      </c>
      <c r="H153" s="26">
        <v>6</v>
      </c>
      <c r="I153" s="26">
        <f t="shared" si="6"/>
        <v>18</v>
      </c>
      <c r="J153" s="18" t="s">
        <v>435</v>
      </c>
      <c r="K153" s="27">
        <f t="shared" si="7"/>
        <v>0</v>
      </c>
      <c r="L153" s="28">
        <f t="shared" si="8"/>
        <v>372</v>
      </c>
    </row>
    <row r="154" spans="2:12">
      <c r="B154" s="13" t="s">
        <v>172</v>
      </c>
      <c r="C154" s="14" t="s">
        <v>16</v>
      </c>
      <c r="D154" s="15">
        <v>43569</v>
      </c>
      <c r="E154" s="16" t="s">
        <v>10</v>
      </c>
      <c r="F154" s="26">
        <v>3332</v>
      </c>
      <c r="G154" s="17" t="s">
        <v>11</v>
      </c>
      <c r="H154" s="26">
        <v>0</v>
      </c>
      <c r="I154" s="26">
        <f t="shared" si="6"/>
        <v>167</v>
      </c>
      <c r="J154" s="18" t="s">
        <v>439</v>
      </c>
      <c r="K154" s="27">
        <f t="shared" si="7"/>
        <v>67</v>
      </c>
      <c r="L154" s="28">
        <f t="shared" si="8"/>
        <v>3499</v>
      </c>
    </row>
    <row r="155" spans="2:12">
      <c r="B155" s="13" t="s">
        <v>173</v>
      </c>
      <c r="C155" s="19" t="s">
        <v>20</v>
      </c>
      <c r="D155" s="15">
        <v>43574</v>
      </c>
      <c r="E155" s="16" t="s">
        <v>450</v>
      </c>
      <c r="F155" s="26">
        <v>9505</v>
      </c>
      <c r="G155" s="17" t="s">
        <v>11</v>
      </c>
      <c r="H155" s="26">
        <v>0</v>
      </c>
      <c r="I155" s="26">
        <f t="shared" si="6"/>
        <v>475</v>
      </c>
      <c r="J155" s="18" t="s">
        <v>434</v>
      </c>
      <c r="K155" s="27">
        <f t="shared" si="7"/>
        <v>333</v>
      </c>
      <c r="L155" s="28">
        <f t="shared" si="8"/>
        <v>9980</v>
      </c>
    </row>
    <row r="156" spans="2:12">
      <c r="B156" s="13" t="s">
        <v>174</v>
      </c>
      <c r="C156" s="14" t="s">
        <v>17</v>
      </c>
      <c r="D156" s="15">
        <v>43576</v>
      </c>
      <c r="E156" s="16" t="s">
        <v>450</v>
      </c>
      <c r="F156" s="26">
        <v>792</v>
      </c>
      <c r="G156" s="17" t="s">
        <v>397</v>
      </c>
      <c r="H156" s="26">
        <v>14</v>
      </c>
      <c r="I156" s="26">
        <f t="shared" si="6"/>
        <v>40</v>
      </c>
      <c r="J156" s="18" t="s">
        <v>435</v>
      </c>
      <c r="K156" s="27">
        <f t="shared" si="7"/>
        <v>0</v>
      </c>
      <c r="L156" s="28">
        <f t="shared" si="8"/>
        <v>832</v>
      </c>
    </row>
    <row r="157" spans="2:12">
      <c r="B157" s="13" t="s">
        <v>175</v>
      </c>
      <c r="C157" s="16" t="s">
        <v>14</v>
      </c>
      <c r="D157" s="15">
        <v>43577</v>
      </c>
      <c r="E157" s="16" t="s">
        <v>450</v>
      </c>
      <c r="F157" s="26">
        <v>8172</v>
      </c>
      <c r="G157" s="17" t="s">
        <v>11</v>
      </c>
      <c r="H157" s="26">
        <v>147</v>
      </c>
      <c r="I157" s="26">
        <f t="shared" si="6"/>
        <v>416</v>
      </c>
      <c r="J157" s="18" t="s">
        <v>435</v>
      </c>
      <c r="K157" s="27">
        <f t="shared" si="7"/>
        <v>286</v>
      </c>
      <c r="L157" s="28">
        <f t="shared" si="8"/>
        <v>8588</v>
      </c>
    </row>
    <row r="158" spans="2:12">
      <c r="B158" s="13" t="s">
        <v>176</v>
      </c>
      <c r="C158" s="14" t="s">
        <v>17</v>
      </c>
      <c r="D158" s="15">
        <v>43577</v>
      </c>
      <c r="E158" s="16" t="s">
        <v>10</v>
      </c>
      <c r="F158" s="26">
        <v>7906</v>
      </c>
      <c r="G158" s="17" t="s">
        <v>399</v>
      </c>
      <c r="H158" s="26">
        <v>237</v>
      </c>
      <c r="I158" s="26">
        <f t="shared" si="6"/>
        <v>407</v>
      </c>
      <c r="J158" s="18" t="s">
        <v>13</v>
      </c>
      <c r="K158" s="27">
        <f t="shared" si="7"/>
        <v>237</v>
      </c>
      <c r="L158" s="28">
        <f t="shared" si="8"/>
        <v>8313</v>
      </c>
    </row>
    <row r="159" spans="2:12">
      <c r="B159" s="13" t="s">
        <v>177</v>
      </c>
      <c r="C159" s="19" t="s">
        <v>20</v>
      </c>
      <c r="D159" s="15">
        <v>43580</v>
      </c>
      <c r="E159" s="16" t="s">
        <v>10</v>
      </c>
      <c r="F159" s="26">
        <v>6138</v>
      </c>
      <c r="G159" s="17" t="s">
        <v>11</v>
      </c>
      <c r="H159" s="26">
        <v>110</v>
      </c>
      <c r="I159" s="26">
        <f t="shared" si="6"/>
        <v>312</v>
      </c>
      <c r="J159" s="18" t="s">
        <v>435</v>
      </c>
      <c r="K159" s="27">
        <f t="shared" si="7"/>
        <v>184</v>
      </c>
      <c r="L159" s="28">
        <f t="shared" si="8"/>
        <v>6450</v>
      </c>
    </row>
    <row r="160" spans="2:12">
      <c r="B160" s="13" t="s">
        <v>178</v>
      </c>
      <c r="C160" s="14" t="s">
        <v>9</v>
      </c>
      <c r="D160" s="15">
        <v>43581</v>
      </c>
      <c r="E160" s="16" t="s">
        <v>451</v>
      </c>
      <c r="F160" s="26">
        <v>2681</v>
      </c>
      <c r="G160" s="17" t="s">
        <v>11</v>
      </c>
      <c r="H160" s="26">
        <v>53</v>
      </c>
      <c r="I160" s="26">
        <f t="shared" si="6"/>
        <v>137</v>
      </c>
      <c r="J160" s="18" t="s">
        <v>439</v>
      </c>
      <c r="K160" s="27">
        <f t="shared" si="7"/>
        <v>54</v>
      </c>
      <c r="L160" s="28">
        <f t="shared" si="8"/>
        <v>2818</v>
      </c>
    </row>
    <row r="161" spans="2:12">
      <c r="B161" s="13" t="s">
        <v>179</v>
      </c>
      <c r="C161" s="14" t="s">
        <v>15</v>
      </c>
      <c r="D161" s="15">
        <v>43584</v>
      </c>
      <c r="E161" s="16" t="s">
        <v>18</v>
      </c>
      <c r="F161" s="26">
        <v>5927</v>
      </c>
      <c r="G161" s="17" t="s">
        <v>399</v>
      </c>
      <c r="H161" s="26">
        <v>177</v>
      </c>
      <c r="I161" s="26">
        <f t="shared" si="6"/>
        <v>305</v>
      </c>
      <c r="J161" s="18" t="s">
        <v>13</v>
      </c>
      <c r="K161" s="27">
        <f t="shared" si="7"/>
        <v>148</v>
      </c>
      <c r="L161" s="28">
        <f t="shared" si="8"/>
        <v>6232</v>
      </c>
    </row>
    <row r="162" spans="2:12">
      <c r="B162" s="13" t="s">
        <v>180</v>
      </c>
      <c r="C162" s="14" t="s">
        <v>15</v>
      </c>
      <c r="D162" s="15">
        <v>43588</v>
      </c>
      <c r="E162" s="16" t="s">
        <v>18</v>
      </c>
      <c r="F162" s="26">
        <v>4503</v>
      </c>
      <c r="G162" s="17" t="s">
        <v>397</v>
      </c>
      <c r="H162" s="26">
        <v>81</v>
      </c>
      <c r="I162" s="26">
        <f t="shared" si="6"/>
        <v>229</v>
      </c>
      <c r="J162" s="18" t="s">
        <v>435</v>
      </c>
      <c r="K162" s="27">
        <f t="shared" si="7"/>
        <v>113</v>
      </c>
      <c r="L162" s="28">
        <f t="shared" si="8"/>
        <v>4732</v>
      </c>
    </row>
    <row r="163" spans="2:12">
      <c r="B163" s="13" t="s">
        <v>181</v>
      </c>
      <c r="C163" s="14" t="s">
        <v>19</v>
      </c>
      <c r="D163" s="15">
        <v>43595</v>
      </c>
      <c r="E163" s="16" t="s">
        <v>451</v>
      </c>
      <c r="F163" s="26">
        <v>5391</v>
      </c>
      <c r="G163" s="17" t="s">
        <v>12</v>
      </c>
      <c r="H163" s="26">
        <v>0</v>
      </c>
      <c r="I163" s="26">
        <f t="shared" si="6"/>
        <v>270</v>
      </c>
      <c r="J163" s="18" t="s">
        <v>439</v>
      </c>
      <c r="K163" s="27">
        <f t="shared" si="7"/>
        <v>135</v>
      </c>
      <c r="L163" s="28">
        <f t="shared" si="8"/>
        <v>5661</v>
      </c>
    </row>
    <row r="164" spans="2:12">
      <c r="B164" s="13" t="s">
        <v>182</v>
      </c>
      <c r="C164" s="14" t="s">
        <v>15</v>
      </c>
      <c r="D164" s="15">
        <v>43601</v>
      </c>
      <c r="E164" s="16" t="s">
        <v>451</v>
      </c>
      <c r="F164" s="26">
        <v>7273</v>
      </c>
      <c r="G164" s="17" t="s">
        <v>11</v>
      </c>
      <c r="H164" s="26">
        <v>0</v>
      </c>
      <c r="I164" s="26">
        <f t="shared" si="6"/>
        <v>364</v>
      </c>
      <c r="J164" s="18" t="s">
        <v>434</v>
      </c>
      <c r="K164" s="27">
        <f t="shared" si="7"/>
        <v>218</v>
      </c>
      <c r="L164" s="28">
        <f t="shared" si="8"/>
        <v>7637</v>
      </c>
    </row>
    <row r="165" spans="2:12">
      <c r="B165" s="13" t="s">
        <v>183</v>
      </c>
      <c r="C165" s="14" t="s">
        <v>17</v>
      </c>
      <c r="D165" s="15">
        <v>43603</v>
      </c>
      <c r="E165" s="16" t="s">
        <v>450</v>
      </c>
      <c r="F165" s="26">
        <v>4300</v>
      </c>
      <c r="G165" s="17" t="s">
        <v>396</v>
      </c>
      <c r="H165" s="26">
        <v>129</v>
      </c>
      <c r="I165" s="26">
        <f t="shared" si="6"/>
        <v>221</v>
      </c>
      <c r="J165" s="18" t="s">
        <v>13</v>
      </c>
      <c r="K165" s="27">
        <f t="shared" si="7"/>
        <v>108</v>
      </c>
      <c r="L165" s="28">
        <f t="shared" si="8"/>
        <v>4521</v>
      </c>
    </row>
    <row r="166" spans="2:12">
      <c r="B166" s="13" t="s">
        <v>184</v>
      </c>
      <c r="C166" s="14" t="s">
        <v>19</v>
      </c>
      <c r="D166" s="15">
        <v>43603</v>
      </c>
      <c r="E166" s="16" t="s">
        <v>452</v>
      </c>
      <c r="F166" s="26">
        <v>3663</v>
      </c>
      <c r="G166" s="17" t="s">
        <v>12</v>
      </c>
      <c r="H166" s="26">
        <v>65</v>
      </c>
      <c r="I166" s="26">
        <f t="shared" si="6"/>
        <v>186</v>
      </c>
      <c r="J166" s="18" t="s">
        <v>435</v>
      </c>
      <c r="K166" s="27">
        <f t="shared" si="7"/>
        <v>92</v>
      </c>
      <c r="L166" s="28">
        <f t="shared" si="8"/>
        <v>3849</v>
      </c>
    </row>
    <row r="167" spans="2:12">
      <c r="B167" s="13" t="s">
        <v>185</v>
      </c>
      <c r="C167" s="14" t="s">
        <v>16</v>
      </c>
      <c r="D167" s="15">
        <v>43604</v>
      </c>
      <c r="E167" s="16" t="s">
        <v>10</v>
      </c>
      <c r="F167" s="26">
        <v>9742</v>
      </c>
      <c r="G167" s="17" t="s">
        <v>11</v>
      </c>
      <c r="H167" s="26">
        <v>0</v>
      </c>
      <c r="I167" s="26">
        <f t="shared" si="6"/>
        <v>487</v>
      </c>
      <c r="J167" s="18" t="s">
        <v>439</v>
      </c>
      <c r="K167" s="27">
        <f t="shared" si="7"/>
        <v>341</v>
      </c>
      <c r="L167" s="28">
        <f t="shared" si="8"/>
        <v>10229</v>
      </c>
    </row>
    <row r="168" spans="2:12">
      <c r="B168" s="13" t="s">
        <v>186</v>
      </c>
      <c r="C168" s="14" t="s">
        <v>20</v>
      </c>
      <c r="D168" s="15">
        <v>43606</v>
      </c>
      <c r="E168" s="16" t="s">
        <v>452</v>
      </c>
      <c r="F168" s="26">
        <v>1720</v>
      </c>
      <c r="G168" s="17" t="s">
        <v>396</v>
      </c>
      <c r="H168" s="26">
        <v>0</v>
      </c>
      <c r="I168" s="26">
        <f t="shared" si="6"/>
        <v>86</v>
      </c>
      <c r="J168" s="18" t="s">
        <v>434</v>
      </c>
      <c r="K168" s="27">
        <f t="shared" si="7"/>
        <v>26</v>
      </c>
      <c r="L168" s="28">
        <f t="shared" si="8"/>
        <v>1806</v>
      </c>
    </row>
    <row r="169" spans="2:12">
      <c r="B169" s="13" t="s">
        <v>187</v>
      </c>
      <c r="C169" s="14" t="s">
        <v>15</v>
      </c>
      <c r="D169" s="15">
        <v>43611</v>
      </c>
      <c r="E169" s="16" t="s">
        <v>453</v>
      </c>
      <c r="F169" s="26">
        <v>9479</v>
      </c>
      <c r="G169" s="17" t="s">
        <v>11</v>
      </c>
      <c r="H169" s="26">
        <v>0</v>
      </c>
      <c r="I169" s="26">
        <f t="shared" si="6"/>
        <v>474</v>
      </c>
      <c r="J169" s="18" t="s">
        <v>434</v>
      </c>
      <c r="K169" s="27">
        <f t="shared" si="7"/>
        <v>332</v>
      </c>
      <c r="L169" s="28">
        <f t="shared" si="8"/>
        <v>9953</v>
      </c>
    </row>
    <row r="170" spans="2:12">
      <c r="B170" s="13" t="s">
        <v>188</v>
      </c>
      <c r="C170" s="14" t="s">
        <v>16</v>
      </c>
      <c r="D170" s="15">
        <v>43618</v>
      </c>
      <c r="E170" s="16" t="s">
        <v>453</v>
      </c>
      <c r="F170" s="26">
        <v>3649</v>
      </c>
      <c r="G170" s="17" t="s">
        <v>397</v>
      </c>
      <c r="H170" s="26">
        <v>0</v>
      </c>
      <c r="I170" s="26">
        <f t="shared" si="6"/>
        <v>182</v>
      </c>
      <c r="J170" s="18" t="s">
        <v>439</v>
      </c>
      <c r="K170" s="27">
        <f t="shared" si="7"/>
        <v>91</v>
      </c>
      <c r="L170" s="28">
        <f t="shared" si="8"/>
        <v>3831</v>
      </c>
    </row>
    <row r="171" spans="2:12">
      <c r="B171" s="13" t="s">
        <v>189</v>
      </c>
      <c r="C171" s="14" t="s">
        <v>19</v>
      </c>
      <c r="D171" s="15">
        <v>43619</v>
      </c>
      <c r="E171" s="16" t="s">
        <v>450</v>
      </c>
      <c r="F171" s="26">
        <v>6336</v>
      </c>
      <c r="G171" s="17" t="s">
        <v>12</v>
      </c>
      <c r="H171" s="26">
        <v>114</v>
      </c>
      <c r="I171" s="26">
        <f t="shared" si="6"/>
        <v>323</v>
      </c>
      <c r="J171" s="18" t="s">
        <v>435</v>
      </c>
      <c r="K171" s="27">
        <f t="shared" si="7"/>
        <v>190</v>
      </c>
      <c r="L171" s="28">
        <f t="shared" si="8"/>
        <v>6659</v>
      </c>
    </row>
    <row r="172" spans="2:12">
      <c r="B172" s="13" t="s">
        <v>190</v>
      </c>
      <c r="C172" s="19" t="s">
        <v>20</v>
      </c>
      <c r="D172" s="15">
        <v>43620</v>
      </c>
      <c r="E172" s="16" t="s">
        <v>452</v>
      </c>
      <c r="F172" s="26">
        <v>5533</v>
      </c>
      <c r="G172" s="17" t="s">
        <v>399</v>
      </c>
      <c r="H172" s="26">
        <v>99</v>
      </c>
      <c r="I172" s="26">
        <f t="shared" si="6"/>
        <v>282</v>
      </c>
      <c r="J172" s="18" t="s">
        <v>435</v>
      </c>
      <c r="K172" s="27">
        <f t="shared" si="7"/>
        <v>138</v>
      </c>
      <c r="L172" s="28">
        <f t="shared" si="8"/>
        <v>5815</v>
      </c>
    </row>
    <row r="173" spans="2:12">
      <c r="B173" s="13" t="s">
        <v>191</v>
      </c>
      <c r="C173" s="14" t="s">
        <v>16</v>
      </c>
      <c r="D173" s="15">
        <v>43622</v>
      </c>
      <c r="E173" s="16" t="s">
        <v>453</v>
      </c>
      <c r="F173" s="26">
        <v>355</v>
      </c>
      <c r="G173" s="17" t="s">
        <v>396</v>
      </c>
      <c r="H173" s="26">
        <v>0</v>
      </c>
      <c r="I173" s="26">
        <f t="shared" si="6"/>
        <v>18</v>
      </c>
      <c r="J173" s="18" t="s">
        <v>434</v>
      </c>
      <c r="K173" s="27">
        <f t="shared" si="7"/>
        <v>0</v>
      </c>
      <c r="L173" s="28">
        <f t="shared" si="8"/>
        <v>373</v>
      </c>
    </row>
    <row r="174" spans="2:12">
      <c r="B174" s="13" t="s">
        <v>192</v>
      </c>
      <c r="C174" s="14" t="s">
        <v>19</v>
      </c>
      <c r="D174" s="15">
        <v>43623</v>
      </c>
      <c r="E174" s="16" t="s">
        <v>451</v>
      </c>
      <c r="F174" s="26">
        <v>444</v>
      </c>
      <c r="G174" s="17" t="s">
        <v>397</v>
      </c>
      <c r="H174" s="26">
        <v>8</v>
      </c>
      <c r="I174" s="26">
        <f t="shared" si="6"/>
        <v>23</v>
      </c>
      <c r="J174" s="18" t="s">
        <v>439</v>
      </c>
      <c r="K174" s="27">
        <f t="shared" si="7"/>
        <v>0</v>
      </c>
      <c r="L174" s="28">
        <f t="shared" si="8"/>
        <v>467</v>
      </c>
    </row>
    <row r="175" spans="2:12">
      <c r="B175" s="13" t="s">
        <v>193</v>
      </c>
      <c r="C175" s="19" t="s">
        <v>20</v>
      </c>
      <c r="D175" s="15">
        <v>43625</v>
      </c>
      <c r="E175" s="16" t="s">
        <v>450</v>
      </c>
      <c r="F175" s="26">
        <v>4832</v>
      </c>
      <c r="G175" s="17" t="s">
        <v>11</v>
      </c>
      <c r="H175" s="26">
        <v>0</v>
      </c>
      <c r="I175" s="26">
        <f t="shared" si="6"/>
        <v>242</v>
      </c>
      <c r="J175" s="18" t="s">
        <v>434</v>
      </c>
      <c r="K175" s="27">
        <f t="shared" si="7"/>
        <v>121</v>
      </c>
      <c r="L175" s="28">
        <f t="shared" si="8"/>
        <v>5074</v>
      </c>
    </row>
    <row r="176" spans="2:12">
      <c r="B176" s="13" t="s">
        <v>194</v>
      </c>
      <c r="C176" s="14" t="s">
        <v>15</v>
      </c>
      <c r="D176" s="15">
        <v>43635</v>
      </c>
      <c r="E176" s="16" t="s">
        <v>453</v>
      </c>
      <c r="F176" s="26">
        <v>78</v>
      </c>
      <c r="G176" s="17" t="s">
        <v>11</v>
      </c>
      <c r="H176" s="26">
        <v>2</v>
      </c>
      <c r="I176" s="26">
        <f t="shared" si="6"/>
        <v>4</v>
      </c>
      <c r="J176" s="18" t="s">
        <v>13</v>
      </c>
      <c r="K176" s="27">
        <f t="shared" si="7"/>
        <v>0</v>
      </c>
      <c r="L176" s="28">
        <f t="shared" si="8"/>
        <v>82</v>
      </c>
    </row>
    <row r="177" spans="2:12">
      <c r="B177" s="13" t="s">
        <v>195</v>
      </c>
      <c r="C177" s="14" t="s">
        <v>17</v>
      </c>
      <c r="D177" s="15">
        <v>43635</v>
      </c>
      <c r="E177" s="16" t="s">
        <v>452</v>
      </c>
      <c r="F177" s="26">
        <v>5088</v>
      </c>
      <c r="G177" s="17" t="s">
        <v>12</v>
      </c>
      <c r="H177" s="26">
        <v>0</v>
      </c>
      <c r="I177" s="26">
        <f t="shared" si="6"/>
        <v>254</v>
      </c>
      <c r="J177" s="18" t="s">
        <v>439</v>
      </c>
      <c r="K177" s="27">
        <f t="shared" si="7"/>
        <v>127</v>
      </c>
      <c r="L177" s="28">
        <f t="shared" si="8"/>
        <v>5342</v>
      </c>
    </row>
    <row r="178" spans="2:12">
      <c r="B178" s="13" t="s">
        <v>196</v>
      </c>
      <c r="C178" s="14" t="s">
        <v>17</v>
      </c>
      <c r="D178" s="15">
        <v>43636</v>
      </c>
      <c r="E178" s="16" t="s">
        <v>453</v>
      </c>
      <c r="F178" s="26">
        <v>5571</v>
      </c>
      <c r="G178" s="17" t="s">
        <v>397</v>
      </c>
      <c r="H178" s="26">
        <v>0</v>
      </c>
      <c r="I178" s="26">
        <f t="shared" si="6"/>
        <v>279</v>
      </c>
      <c r="J178" s="18" t="s">
        <v>439</v>
      </c>
      <c r="K178" s="27">
        <f t="shared" si="7"/>
        <v>139</v>
      </c>
      <c r="L178" s="28">
        <f t="shared" si="8"/>
        <v>5850</v>
      </c>
    </row>
    <row r="179" spans="2:12">
      <c r="B179" s="13" t="s">
        <v>197</v>
      </c>
      <c r="C179" s="14" t="s">
        <v>9</v>
      </c>
      <c r="D179" s="15">
        <v>43636</v>
      </c>
      <c r="E179" s="16" t="s">
        <v>451</v>
      </c>
      <c r="F179" s="26">
        <v>1773</v>
      </c>
      <c r="G179" s="17" t="s">
        <v>11</v>
      </c>
      <c r="H179" s="26">
        <v>35</v>
      </c>
      <c r="I179" s="26">
        <f t="shared" si="6"/>
        <v>90</v>
      </c>
      <c r="J179" s="18" t="s">
        <v>439</v>
      </c>
      <c r="K179" s="27">
        <f t="shared" si="7"/>
        <v>27</v>
      </c>
      <c r="L179" s="28">
        <f t="shared" si="8"/>
        <v>1863</v>
      </c>
    </row>
    <row r="180" spans="2:12">
      <c r="B180" s="13" t="s">
        <v>198</v>
      </c>
      <c r="C180" s="14" t="s">
        <v>15</v>
      </c>
      <c r="D180" s="15">
        <v>43639</v>
      </c>
      <c r="E180" s="16" t="s">
        <v>452</v>
      </c>
      <c r="F180" s="26">
        <v>15</v>
      </c>
      <c r="G180" s="17" t="s">
        <v>12</v>
      </c>
      <c r="H180" s="26">
        <v>0</v>
      </c>
      <c r="I180" s="26">
        <f t="shared" si="6"/>
        <v>1</v>
      </c>
      <c r="J180" s="18" t="s">
        <v>439</v>
      </c>
      <c r="K180" s="27">
        <f t="shared" si="7"/>
        <v>0</v>
      </c>
      <c r="L180" s="28">
        <f t="shared" si="8"/>
        <v>16</v>
      </c>
    </row>
    <row r="181" spans="2:12">
      <c r="B181" s="13" t="s">
        <v>199</v>
      </c>
      <c r="C181" s="16" t="s">
        <v>14</v>
      </c>
      <c r="D181" s="15">
        <v>43640</v>
      </c>
      <c r="E181" s="16" t="s">
        <v>451</v>
      </c>
      <c r="F181" s="26">
        <v>9362</v>
      </c>
      <c r="G181" s="17" t="s">
        <v>399</v>
      </c>
      <c r="H181" s="26">
        <v>0</v>
      </c>
      <c r="I181" s="26">
        <f t="shared" si="6"/>
        <v>468</v>
      </c>
      <c r="J181" s="18" t="s">
        <v>439</v>
      </c>
      <c r="K181" s="27">
        <f t="shared" si="7"/>
        <v>328</v>
      </c>
      <c r="L181" s="28">
        <f t="shared" si="8"/>
        <v>9830</v>
      </c>
    </row>
    <row r="182" spans="2:12">
      <c r="B182" s="13" t="s">
        <v>200</v>
      </c>
      <c r="C182" s="14" t="s">
        <v>9</v>
      </c>
      <c r="D182" s="15">
        <v>43640</v>
      </c>
      <c r="E182" s="16" t="s">
        <v>10</v>
      </c>
      <c r="F182" s="26">
        <v>8348</v>
      </c>
      <c r="G182" s="17" t="s">
        <v>12</v>
      </c>
      <c r="H182" s="26">
        <v>0</v>
      </c>
      <c r="I182" s="26">
        <f t="shared" si="6"/>
        <v>417</v>
      </c>
      <c r="J182" s="18" t="s">
        <v>439</v>
      </c>
      <c r="K182" s="27">
        <f t="shared" si="7"/>
        <v>292</v>
      </c>
      <c r="L182" s="28">
        <f t="shared" si="8"/>
        <v>8765</v>
      </c>
    </row>
    <row r="183" spans="2:12">
      <c r="B183" s="13" t="s">
        <v>201</v>
      </c>
      <c r="C183" s="14" t="s">
        <v>17</v>
      </c>
      <c r="D183" s="15">
        <v>43643</v>
      </c>
      <c r="E183" s="16" t="s">
        <v>18</v>
      </c>
      <c r="F183" s="26">
        <v>6670</v>
      </c>
      <c r="G183" s="17" t="s">
        <v>399</v>
      </c>
      <c r="H183" s="26">
        <v>200</v>
      </c>
      <c r="I183" s="26">
        <f t="shared" si="6"/>
        <v>344</v>
      </c>
      <c r="J183" s="18" t="s">
        <v>13</v>
      </c>
      <c r="K183" s="27">
        <f t="shared" si="7"/>
        <v>200</v>
      </c>
      <c r="L183" s="28">
        <f t="shared" si="8"/>
        <v>7014</v>
      </c>
    </row>
    <row r="184" spans="2:12">
      <c r="B184" s="13" t="s">
        <v>202</v>
      </c>
      <c r="C184" s="14" t="s">
        <v>16</v>
      </c>
      <c r="D184" s="15">
        <v>43645</v>
      </c>
      <c r="E184" s="16" t="s">
        <v>452</v>
      </c>
      <c r="F184" s="26">
        <v>7698</v>
      </c>
      <c r="G184" s="17" t="s">
        <v>399</v>
      </c>
      <c r="H184" s="26">
        <v>138</v>
      </c>
      <c r="I184" s="26">
        <f t="shared" si="6"/>
        <v>392</v>
      </c>
      <c r="J184" s="18" t="s">
        <v>435</v>
      </c>
      <c r="K184" s="27">
        <f t="shared" si="7"/>
        <v>231</v>
      </c>
      <c r="L184" s="28">
        <f t="shared" si="8"/>
        <v>8090</v>
      </c>
    </row>
    <row r="185" spans="2:12">
      <c r="B185" s="13" t="s">
        <v>203</v>
      </c>
      <c r="C185" s="19" t="s">
        <v>20</v>
      </c>
      <c r="D185" s="15">
        <v>43645</v>
      </c>
      <c r="E185" s="16" t="s">
        <v>450</v>
      </c>
      <c r="F185" s="26">
        <v>9596</v>
      </c>
      <c r="G185" s="17" t="s">
        <v>11</v>
      </c>
      <c r="H185" s="26">
        <v>0</v>
      </c>
      <c r="I185" s="26">
        <f t="shared" si="6"/>
        <v>480</v>
      </c>
      <c r="J185" s="18" t="s">
        <v>439</v>
      </c>
      <c r="K185" s="27">
        <f t="shared" si="7"/>
        <v>336</v>
      </c>
      <c r="L185" s="28">
        <f t="shared" si="8"/>
        <v>10076</v>
      </c>
    </row>
    <row r="186" spans="2:12">
      <c r="B186" s="13" t="s">
        <v>204</v>
      </c>
      <c r="C186" s="19" t="s">
        <v>20</v>
      </c>
      <c r="D186" s="15">
        <v>43647</v>
      </c>
      <c r="E186" s="16" t="s">
        <v>452</v>
      </c>
      <c r="F186" s="26">
        <v>7726</v>
      </c>
      <c r="G186" s="17" t="s">
        <v>12</v>
      </c>
      <c r="H186" s="26">
        <v>0</v>
      </c>
      <c r="I186" s="26">
        <f t="shared" si="6"/>
        <v>386</v>
      </c>
      <c r="J186" s="18" t="s">
        <v>439</v>
      </c>
      <c r="K186" s="27">
        <f t="shared" si="7"/>
        <v>232</v>
      </c>
      <c r="L186" s="28">
        <f t="shared" si="8"/>
        <v>8112</v>
      </c>
    </row>
    <row r="187" spans="2:12">
      <c r="B187" s="13" t="s">
        <v>205</v>
      </c>
      <c r="C187" s="14" t="s">
        <v>9</v>
      </c>
      <c r="D187" s="15">
        <v>43652</v>
      </c>
      <c r="E187" s="16" t="s">
        <v>453</v>
      </c>
      <c r="F187" s="26">
        <v>4394</v>
      </c>
      <c r="G187" s="17" t="s">
        <v>12</v>
      </c>
      <c r="H187" s="26">
        <v>0</v>
      </c>
      <c r="I187" s="26">
        <f t="shared" si="6"/>
        <v>220</v>
      </c>
      <c r="J187" s="18" t="s">
        <v>439</v>
      </c>
      <c r="K187" s="27">
        <f t="shared" si="7"/>
        <v>110</v>
      </c>
      <c r="L187" s="28">
        <f t="shared" si="8"/>
        <v>4614</v>
      </c>
    </row>
    <row r="188" spans="2:12">
      <c r="B188" s="13" t="s">
        <v>206</v>
      </c>
      <c r="C188" s="16" t="s">
        <v>14</v>
      </c>
      <c r="D188" s="15">
        <v>43665</v>
      </c>
      <c r="E188" s="16" t="s">
        <v>451</v>
      </c>
      <c r="F188" s="26">
        <v>2963</v>
      </c>
      <c r="G188" s="17" t="s">
        <v>399</v>
      </c>
      <c r="H188" s="26">
        <v>88</v>
      </c>
      <c r="I188" s="26">
        <f t="shared" si="6"/>
        <v>153</v>
      </c>
      <c r="J188" s="18" t="s">
        <v>13</v>
      </c>
      <c r="K188" s="27">
        <f t="shared" si="7"/>
        <v>59</v>
      </c>
      <c r="L188" s="28">
        <f t="shared" si="8"/>
        <v>3116</v>
      </c>
    </row>
    <row r="189" spans="2:12">
      <c r="B189" s="13" t="s">
        <v>207</v>
      </c>
      <c r="C189" s="14" t="s">
        <v>17</v>
      </c>
      <c r="D189" s="15">
        <v>43666</v>
      </c>
      <c r="E189" s="16" t="s">
        <v>453</v>
      </c>
      <c r="F189" s="26">
        <v>9181</v>
      </c>
      <c r="G189" s="17" t="s">
        <v>12</v>
      </c>
      <c r="H189" s="26">
        <v>165</v>
      </c>
      <c r="I189" s="26">
        <f t="shared" si="6"/>
        <v>467</v>
      </c>
      <c r="J189" s="18" t="s">
        <v>435</v>
      </c>
      <c r="K189" s="27">
        <f t="shared" si="7"/>
        <v>321</v>
      </c>
      <c r="L189" s="28">
        <f t="shared" si="8"/>
        <v>9648</v>
      </c>
    </row>
    <row r="190" spans="2:12">
      <c r="B190" s="13" t="s">
        <v>208</v>
      </c>
      <c r="C190" s="14" t="s">
        <v>19</v>
      </c>
      <c r="D190" s="15">
        <v>43669</v>
      </c>
      <c r="E190" s="16" t="s">
        <v>452</v>
      </c>
      <c r="F190" s="26">
        <v>6464</v>
      </c>
      <c r="G190" s="17" t="s">
        <v>11</v>
      </c>
      <c r="H190" s="26">
        <v>0</v>
      </c>
      <c r="I190" s="26">
        <f t="shared" si="6"/>
        <v>323</v>
      </c>
      <c r="J190" s="18" t="s">
        <v>439</v>
      </c>
      <c r="K190" s="27">
        <f t="shared" si="7"/>
        <v>194</v>
      </c>
      <c r="L190" s="28">
        <f t="shared" si="8"/>
        <v>6787</v>
      </c>
    </row>
    <row r="191" spans="2:12">
      <c r="B191" s="13" t="s">
        <v>209</v>
      </c>
      <c r="C191" s="14" t="s">
        <v>17</v>
      </c>
      <c r="D191" s="15">
        <v>43670</v>
      </c>
      <c r="E191" s="16" t="s">
        <v>10</v>
      </c>
      <c r="F191" s="26">
        <v>5177</v>
      </c>
      <c r="G191" s="17" t="s">
        <v>397</v>
      </c>
      <c r="H191" s="26">
        <v>155</v>
      </c>
      <c r="I191" s="26">
        <f t="shared" si="6"/>
        <v>267</v>
      </c>
      <c r="J191" s="18" t="s">
        <v>13</v>
      </c>
      <c r="K191" s="27">
        <f t="shared" si="7"/>
        <v>129</v>
      </c>
      <c r="L191" s="28">
        <f t="shared" si="8"/>
        <v>5444</v>
      </c>
    </row>
    <row r="192" spans="2:12">
      <c r="B192" s="13" t="s">
        <v>210</v>
      </c>
      <c r="C192" s="16" t="s">
        <v>14</v>
      </c>
      <c r="D192" s="15">
        <v>43675</v>
      </c>
      <c r="E192" s="16" t="s">
        <v>10</v>
      </c>
      <c r="F192" s="26">
        <v>7334</v>
      </c>
      <c r="G192" s="17" t="s">
        <v>11</v>
      </c>
      <c r="H192" s="26">
        <v>0</v>
      </c>
      <c r="I192" s="26">
        <f t="shared" si="6"/>
        <v>367</v>
      </c>
      <c r="J192" s="18" t="s">
        <v>434</v>
      </c>
      <c r="K192" s="27">
        <f t="shared" si="7"/>
        <v>220</v>
      </c>
      <c r="L192" s="28">
        <f t="shared" si="8"/>
        <v>7701</v>
      </c>
    </row>
    <row r="193" spans="2:12">
      <c r="B193" s="13" t="s">
        <v>211</v>
      </c>
      <c r="C193" s="19" t="s">
        <v>20</v>
      </c>
      <c r="D193" s="15">
        <v>43677</v>
      </c>
      <c r="E193" s="16" t="s">
        <v>451</v>
      </c>
      <c r="F193" s="26">
        <v>8103</v>
      </c>
      <c r="G193" s="17" t="s">
        <v>12</v>
      </c>
      <c r="H193" s="26">
        <v>243</v>
      </c>
      <c r="I193" s="26">
        <f t="shared" si="6"/>
        <v>417</v>
      </c>
      <c r="J193" s="18" t="s">
        <v>13</v>
      </c>
      <c r="K193" s="27">
        <f t="shared" si="7"/>
        <v>284</v>
      </c>
      <c r="L193" s="28">
        <f t="shared" si="8"/>
        <v>8520</v>
      </c>
    </row>
    <row r="194" spans="2:12">
      <c r="B194" s="13" t="s">
        <v>212</v>
      </c>
      <c r="C194" s="14" t="s">
        <v>16</v>
      </c>
      <c r="D194" s="15">
        <v>43678</v>
      </c>
      <c r="E194" s="16" t="s">
        <v>10</v>
      </c>
      <c r="F194" s="26">
        <v>2846</v>
      </c>
      <c r="G194" s="17" t="s">
        <v>396</v>
      </c>
      <c r="H194" s="26">
        <v>56</v>
      </c>
      <c r="I194" s="26">
        <f t="shared" si="6"/>
        <v>145</v>
      </c>
      <c r="J194" s="18" t="s">
        <v>439</v>
      </c>
      <c r="K194" s="27">
        <f t="shared" si="7"/>
        <v>57</v>
      </c>
      <c r="L194" s="28">
        <f t="shared" si="8"/>
        <v>2991</v>
      </c>
    </row>
    <row r="195" spans="2:12">
      <c r="B195" s="13" t="s">
        <v>213</v>
      </c>
      <c r="C195" s="14" t="s">
        <v>9</v>
      </c>
      <c r="D195" s="15">
        <v>43678</v>
      </c>
      <c r="E195" s="16" t="s">
        <v>451</v>
      </c>
      <c r="F195" s="26">
        <v>3161</v>
      </c>
      <c r="G195" s="17" t="s">
        <v>11</v>
      </c>
      <c r="H195" s="26">
        <v>0</v>
      </c>
      <c r="I195" s="26">
        <f t="shared" ref="I195:I258" si="9">ROUND((F195+H195)*0.05,0)</f>
        <v>158</v>
      </c>
      <c r="J195" s="18" t="s">
        <v>439</v>
      </c>
      <c r="K195" s="27">
        <f t="shared" ref="K195:K258" si="10">ROUND(VLOOKUP(F195,獎金比例對照表,2,TRUE)*F195,0)</f>
        <v>63</v>
      </c>
      <c r="L195" s="28">
        <f t="shared" ref="L195:L258" si="11">F195+I195</f>
        <v>3319</v>
      </c>
    </row>
    <row r="196" spans="2:12">
      <c r="B196" s="13" t="s">
        <v>214</v>
      </c>
      <c r="C196" s="16" t="s">
        <v>14</v>
      </c>
      <c r="D196" s="15">
        <v>43683</v>
      </c>
      <c r="E196" s="16" t="s">
        <v>18</v>
      </c>
      <c r="F196" s="26">
        <v>5399</v>
      </c>
      <c r="G196" s="17" t="s">
        <v>12</v>
      </c>
      <c r="H196" s="26">
        <v>0</v>
      </c>
      <c r="I196" s="26">
        <f t="shared" si="9"/>
        <v>270</v>
      </c>
      <c r="J196" s="18" t="s">
        <v>434</v>
      </c>
      <c r="K196" s="27">
        <f t="shared" si="10"/>
        <v>135</v>
      </c>
      <c r="L196" s="28">
        <f t="shared" si="11"/>
        <v>5669</v>
      </c>
    </row>
    <row r="197" spans="2:12">
      <c r="B197" s="13" t="s">
        <v>215</v>
      </c>
      <c r="C197" s="19" t="s">
        <v>20</v>
      </c>
      <c r="D197" s="15">
        <v>43684</v>
      </c>
      <c r="E197" s="16" t="s">
        <v>450</v>
      </c>
      <c r="F197" s="26">
        <v>9055</v>
      </c>
      <c r="G197" s="17" t="s">
        <v>12</v>
      </c>
      <c r="H197" s="26">
        <v>271</v>
      </c>
      <c r="I197" s="26">
        <f t="shared" si="9"/>
        <v>466</v>
      </c>
      <c r="J197" s="18" t="s">
        <v>13</v>
      </c>
      <c r="K197" s="27">
        <f t="shared" si="10"/>
        <v>317</v>
      </c>
      <c r="L197" s="28">
        <f t="shared" si="11"/>
        <v>9521</v>
      </c>
    </row>
    <row r="198" spans="2:12">
      <c r="B198" s="13" t="s">
        <v>216</v>
      </c>
      <c r="C198" s="19" t="s">
        <v>20</v>
      </c>
      <c r="D198" s="15">
        <v>43690</v>
      </c>
      <c r="E198" s="16" t="s">
        <v>452</v>
      </c>
      <c r="F198" s="26">
        <v>9302</v>
      </c>
      <c r="G198" s="17" t="s">
        <v>11</v>
      </c>
      <c r="H198" s="26">
        <v>279</v>
      </c>
      <c r="I198" s="26">
        <f t="shared" si="9"/>
        <v>479</v>
      </c>
      <c r="J198" s="18" t="s">
        <v>13</v>
      </c>
      <c r="K198" s="27">
        <f t="shared" si="10"/>
        <v>326</v>
      </c>
      <c r="L198" s="28">
        <f t="shared" si="11"/>
        <v>9781</v>
      </c>
    </row>
    <row r="199" spans="2:12">
      <c r="B199" s="13" t="s">
        <v>217</v>
      </c>
      <c r="C199" s="19" t="s">
        <v>20</v>
      </c>
      <c r="D199" s="15">
        <v>43691</v>
      </c>
      <c r="E199" s="16" t="s">
        <v>453</v>
      </c>
      <c r="F199" s="26">
        <v>7554</v>
      </c>
      <c r="G199" s="17" t="s">
        <v>399</v>
      </c>
      <c r="H199" s="26">
        <v>0</v>
      </c>
      <c r="I199" s="26">
        <f t="shared" si="9"/>
        <v>378</v>
      </c>
      <c r="J199" s="18" t="s">
        <v>439</v>
      </c>
      <c r="K199" s="27">
        <f t="shared" si="10"/>
        <v>227</v>
      </c>
      <c r="L199" s="28">
        <f t="shared" si="11"/>
        <v>7932</v>
      </c>
    </row>
    <row r="200" spans="2:12">
      <c r="B200" s="13" t="s">
        <v>218</v>
      </c>
      <c r="C200" s="14" t="s">
        <v>16</v>
      </c>
      <c r="D200" s="15">
        <v>43694</v>
      </c>
      <c r="E200" s="16" t="s">
        <v>10</v>
      </c>
      <c r="F200" s="26">
        <v>5920</v>
      </c>
      <c r="G200" s="17" t="s">
        <v>12</v>
      </c>
      <c r="H200" s="26">
        <v>0</v>
      </c>
      <c r="I200" s="26">
        <f t="shared" si="9"/>
        <v>296</v>
      </c>
      <c r="J200" s="18" t="s">
        <v>434</v>
      </c>
      <c r="K200" s="27">
        <f t="shared" si="10"/>
        <v>148</v>
      </c>
      <c r="L200" s="28">
        <f t="shared" si="11"/>
        <v>6216</v>
      </c>
    </row>
    <row r="201" spans="2:12">
      <c r="B201" s="13" t="s">
        <v>219</v>
      </c>
      <c r="C201" s="14" t="s">
        <v>16</v>
      </c>
      <c r="D201" s="15">
        <v>43694</v>
      </c>
      <c r="E201" s="16" t="s">
        <v>451</v>
      </c>
      <c r="F201" s="26">
        <v>7504</v>
      </c>
      <c r="G201" s="17" t="s">
        <v>11</v>
      </c>
      <c r="H201" s="26">
        <v>0</v>
      </c>
      <c r="I201" s="26">
        <f t="shared" si="9"/>
        <v>375</v>
      </c>
      <c r="J201" s="18" t="s">
        <v>439</v>
      </c>
      <c r="K201" s="27">
        <f t="shared" si="10"/>
        <v>225</v>
      </c>
      <c r="L201" s="28">
        <f t="shared" si="11"/>
        <v>7879</v>
      </c>
    </row>
    <row r="202" spans="2:12">
      <c r="B202" s="13" t="s">
        <v>220</v>
      </c>
      <c r="C202" s="14" t="s">
        <v>9</v>
      </c>
      <c r="D202" s="15">
        <v>43695</v>
      </c>
      <c r="E202" s="16" t="s">
        <v>10</v>
      </c>
      <c r="F202" s="26">
        <v>3859</v>
      </c>
      <c r="G202" s="17" t="s">
        <v>399</v>
      </c>
      <c r="H202" s="26">
        <v>0</v>
      </c>
      <c r="I202" s="26">
        <f t="shared" si="9"/>
        <v>193</v>
      </c>
      <c r="J202" s="18" t="s">
        <v>434</v>
      </c>
      <c r="K202" s="27">
        <f t="shared" si="10"/>
        <v>96</v>
      </c>
      <c r="L202" s="28">
        <f t="shared" si="11"/>
        <v>4052</v>
      </c>
    </row>
    <row r="203" spans="2:12">
      <c r="B203" s="13" t="s">
        <v>221</v>
      </c>
      <c r="C203" s="14" t="s">
        <v>9</v>
      </c>
      <c r="D203" s="15">
        <v>43695</v>
      </c>
      <c r="E203" s="16" t="s">
        <v>453</v>
      </c>
      <c r="F203" s="26">
        <v>1996</v>
      </c>
      <c r="G203" s="17" t="s">
        <v>12</v>
      </c>
      <c r="H203" s="26">
        <v>39</v>
      </c>
      <c r="I203" s="26">
        <f t="shared" si="9"/>
        <v>102</v>
      </c>
      <c r="J203" s="18" t="s">
        <v>439</v>
      </c>
      <c r="K203" s="27">
        <f t="shared" si="10"/>
        <v>30</v>
      </c>
      <c r="L203" s="28">
        <f t="shared" si="11"/>
        <v>2098</v>
      </c>
    </row>
    <row r="204" spans="2:12">
      <c r="B204" s="13" t="s">
        <v>222</v>
      </c>
      <c r="C204" s="14" t="s">
        <v>9</v>
      </c>
      <c r="D204" s="15">
        <v>43703</v>
      </c>
      <c r="E204" s="16" t="s">
        <v>450</v>
      </c>
      <c r="F204" s="26">
        <v>3301</v>
      </c>
      <c r="G204" s="17" t="s">
        <v>11</v>
      </c>
      <c r="H204" s="26">
        <v>0</v>
      </c>
      <c r="I204" s="26">
        <f t="shared" si="9"/>
        <v>165</v>
      </c>
      <c r="J204" s="18" t="s">
        <v>434</v>
      </c>
      <c r="K204" s="27">
        <f t="shared" si="10"/>
        <v>66</v>
      </c>
      <c r="L204" s="28">
        <f t="shared" si="11"/>
        <v>3466</v>
      </c>
    </row>
    <row r="205" spans="2:12">
      <c r="B205" s="13" t="s">
        <v>223</v>
      </c>
      <c r="C205" s="19" t="s">
        <v>20</v>
      </c>
      <c r="D205" s="15">
        <v>43707</v>
      </c>
      <c r="E205" s="16" t="s">
        <v>452</v>
      </c>
      <c r="F205" s="26">
        <v>2207</v>
      </c>
      <c r="G205" s="17" t="s">
        <v>397</v>
      </c>
      <c r="H205" s="26">
        <v>39</v>
      </c>
      <c r="I205" s="26">
        <f t="shared" si="9"/>
        <v>112</v>
      </c>
      <c r="J205" s="18" t="s">
        <v>435</v>
      </c>
      <c r="K205" s="27">
        <f t="shared" si="10"/>
        <v>44</v>
      </c>
      <c r="L205" s="28">
        <f t="shared" si="11"/>
        <v>2319</v>
      </c>
    </row>
    <row r="206" spans="2:12">
      <c r="B206" s="13" t="s">
        <v>224</v>
      </c>
      <c r="C206" s="14" t="s">
        <v>17</v>
      </c>
      <c r="D206" s="15">
        <v>43707</v>
      </c>
      <c r="E206" s="16" t="s">
        <v>453</v>
      </c>
      <c r="F206" s="26">
        <v>8055</v>
      </c>
      <c r="G206" s="17" t="s">
        <v>12</v>
      </c>
      <c r="H206" s="26">
        <v>0</v>
      </c>
      <c r="I206" s="26">
        <f t="shared" si="9"/>
        <v>403</v>
      </c>
      <c r="J206" s="18" t="s">
        <v>434</v>
      </c>
      <c r="K206" s="27">
        <f t="shared" si="10"/>
        <v>282</v>
      </c>
      <c r="L206" s="28">
        <f t="shared" si="11"/>
        <v>8458</v>
      </c>
    </row>
    <row r="207" spans="2:12">
      <c r="B207" s="13" t="s">
        <v>225</v>
      </c>
      <c r="C207" s="16" t="s">
        <v>14</v>
      </c>
      <c r="D207" s="15">
        <v>43710</v>
      </c>
      <c r="E207" s="16" t="s">
        <v>453</v>
      </c>
      <c r="F207" s="26">
        <v>6499</v>
      </c>
      <c r="G207" s="17" t="s">
        <v>12</v>
      </c>
      <c r="H207" s="26">
        <v>0</v>
      </c>
      <c r="I207" s="26">
        <f t="shared" si="9"/>
        <v>325</v>
      </c>
      <c r="J207" s="18" t="s">
        <v>439</v>
      </c>
      <c r="K207" s="27">
        <f t="shared" si="10"/>
        <v>195</v>
      </c>
      <c r="L207" s="28">
        <f t="shared" si="11"/>
        <v>6824</v>
      </c>
    </row>
    <row r="208" spans="2:12">
      <c r="B208" s="13" t="s">
        <v>226</v>
      </c>
      <c r="C208" s="16" t="s">
        <v>14</v>
      </c>
      <c r="D208" s="15">
        <v>43710</v>
      </c>
      <c r="E208" s="16" t="s">
        <v>10</v>
      </c>
      <c r="F208" s="26">
        <v>492</v>
      </c>
      <c r="G208" s="17" t="s">
        <v>11</v>
      </c>
      <c r="H208" s="26">
        <v>8</v>
      </c>
      <c r="I208" s="26">
        <f t="shared" si="9"/>
        <v>25</v>
      </c>
      <c r="J208" s="18" t="s">
        <v>435</v>
      </c>
      <c r="K208" s="27">
        <f t="shared" si="10"/>
        <v>0</v>
      </c>
      <c r="L208" s="28">
        <f t="shared" si="11"/>
        <v>517</v>
      </c>
    </row>
    <row r="209" spans="2:12">
      <c r="B209" s="13" t="s">
        <v>227</v>
      </c>
      <c r="C209" s="14" t="s">
        <v>16</v>
      </c>
      <c r="D209" s="15">
        <v>43711</v>
      </c>
      <c r="E209" s="16" t="s">
        <v>452</v>
      </c>
      <c r="F209" s="26">
        <v>4765</v>
      </c>
      <c r="G209" s="17" t="s">
        <v>12</v>
      </c>
      <c r="H209" s="26">
        <v>142</v>
      </c>
      <c r="I209" s="26">
        <f t="shared" si="9"/>
        <v>245</v>
      </c>
      <c r="J209" s="18" t="s">
        <v>13</v>
      </c>
      <c r="K209" s="27">
        <f t="shared" si="10"/>
        <v>119</v>
      </c>
      <c r="L209" s="28">
        <f t="shared" si="11"/>
        <v>5010</v>
      </c>
    </row>
    <row r="210" spans="2:12">
      <c r="B210" s="13" t="s">
        <v>228</v>
      </c>
      <c r="C210" s="14" t="s">
        <v>19</v>
      </c>
      <c r="D210" s="15">
        <v>43720</v>
      </c>
      <c r="E210" s="16" t="s">
        <v>451</v>
      </c>
      <c r="F210" s="26">
        <v>4717</v>
      </c>
      <c r="G210" s="17" t="s">
        <v>399</v>
      </c>
      <c r="H210" s="26">
        <v>84</v>
      </c>
      <c r="I210" s="26">
        <f t="shared" si="9"/>
        <v>240</v>
      </c>
      <c r="J210" s="18" t="s">
        <v>435</v>
      </c>
      <c r="K210" s="27">
        <f t="shared" si="10"/>
        <v>118</v>
      </c>
      <c r="L210" s="28">
        <f t="shared" si="11"/>
        <v>4957</v>
      </c>
    </row>
    <row r="211" spans="2:12">
      <c r="B211" s="13" t="s">
        <v>229</v>
      </c>
      <c r="C211" s="19" t="s">
        <v>20</v>
      </c>
      <c r="D211" s="15">
        <v>43720</v>
      </c>
      <c r="E211" s="16" t="s">
        <v>10</v>
      </c>
      <c r="F211" s="26">
        <v>432</v>
      </c>
      <c r="G211" s="17" t="s">
        <v>397</v>
      </c>
      <c r="H211" s="26">
        <v>0</v>
      </c>
      <c r="I211" s="26">
        <f t="shared" si="9"/>
        <v>22</v>
      </c>
      <c r="J211" s="18" t="s">
        <v>434</v>
      </c>
      <c r="K211" s="27">
        <f t="shared" si="10"/>
        <v>0</v>
      </c>
      <c r="L211" s="28">
        <f t="shared" si="11"/>
        <v>454</v>
      </c>
    </row>
    <row r="212" spans="2:12">
      <c r="B212" s="13" t="s">
        <v>230</v>
      </c>
      <c r="C212" s="14" t="s">
        <v>9</v>
      </c>
      <c r="D212" s="15">
        <v>43728</v>
      </c>
      <c r="E212" s="16" t="s">
        <v>18</v>
      </c>
      <c r="F212" s="26">
        <v>9738</v>
      </c>
      <c r="G212" s="17" t="s">
        <v>11</v>
      </c>
      <c r="H212" s="26">
        <v>0</v>
      </c>
      <c r="I212" s="26">
        <f t="shared" si="9"/>
        <v>487</v>
      </c>
      <c r="J212" s="18" t="s">
        <v>439</v>
      </c>
      <c r="K212" s="27">
        <f t="shared" si="10"/>
        <v>341</v>
      </c>
      <c r="L212" s="28">
        <f t="shared" si="11"/>
        <v>10225</v>
      </c>
    </row>
    <row r="213" spans="2:12">
      <c r="B213" s="13" t="s">
        <v>231</v>
      </c>
      <c r="C213" s="19" t="s">
        <v>20</v>
      </c>
      <c r="D213" s="15">
        <v>43733</v>
      </c>
      <c r="E213" s="16" t="s">
        <v>450</v>
      </c>
      <c r="F213" s="26">
        <v>53</v>
      </c>
      <c r="G213" s="17" t="s">
        <v>11</v>
      </c>
      <c r="H213" s="26">
        <v>1</v>
      </c>
      <c r="I213" s="26">
        <f t="shared" si="9"/>
        <v>3</v>
      </c>
      <c r="J213" s="18" t="s">
        <v>13</v>
      </c>
      <c r="K213" s="27">
        <f t="shared" si="10"/>
        <v>0</v>
      </c>
      <c r="L213" s="28">
        <f t="shared" si="11"/>
        <v>56</v>
      </c>
    </row>
    <row r="214" spans="2:12">
      <c r="B214" s="13" t="s">
        <v>232</v>
      </c>
      <c r="C214" s="14" t="s">
        <v>9</v>
      </c>
      <c r="D214" s="15">
        <v>43733</v>
      </c>
      <c r="E214" s="16" t="s">
        <v>451</v>
      </c>
      <c r="F214" s="26">
        <v>412</v>
      </c>
      <c r="G214" s="17" t="s">
        <v>399</v>
      </c>
      <c r="H214" s="26">
        <v>8</v>
      </c>
      <c r="I214" s="26">
        <f t="shared" si="9"/>
        <v>21</v>
      </c>
      <c r="J214" s="18" t="s">
        <v>439</v>
      </c>
      <c r="K214" s="27">
        <f t="shared" si="10"/>
        <v>0</v>
      </c>
      <c r="L214" s="28">
        <f t="shared" si="11"/>
        <v>433</v>
      </c>
    </row>
    <row r="215" spans="2:12">
      <c r="B215" s="13" t="s">
        <v>233</v>
      </c>
      <c r="C215" s="14" t="s">
        <v>15</v>
      </c>
      <c r="D215" s="15">
        <v>43737</v>
      </c>
      <c r="E215" s="16" t="s">
        <v>452</v>
      </c>
      <c r="F215" s="26">
        <v>2778</v>
      </c>
      <c r="G215" s="17" t="s">
        <v>12</v>
      </c>
      <c r="H215" s="26">
        <v>83</v>
      </c>
      <c r="I215" s="26">
        <f t="shared" si="9"/>
        <v>143</v>
      </c>
      <c r="J215" s="18" t="s">
        <v>13</v>
      </c>
      <c r="K215" s="27">
        <f t="shared" si="10"/>
        <v>56</v>
      </c>
      <c r="L215" s="28">
        <f t="shared" si="11"/>
        <v>2921</v>
      </c>
    </row>
    <row r="216" spans="2:12">
      <c r="B216" s="13" t="s">
        <v>234</v>
      </c>
      <c r="C216" s="14" t="s">
        <v>9</v>
      </c>
      <c r="D216" s="15">
        <v>43737</v>
      </c>
      <c r="E216" s="16" t="s">
        <v>452</v>
      </c>
      <c r="F216" s="26">
        <v>1857</v>
      </c>
      <c r="G216" s="17" t="s">
        <v>397</v>
      </c>
      <c r="H216" s="26">
        <v>37</v>
      </c>
      <c r="I216" s="26">
        <f t="shared" si="9"/>
        <v>95</v>
      </c>
      <c r="J216" s="18" t="s">
        <v>439</v>
      </c>
      <c r="K216" s="27">
        <f t="shared" si="10"/>
        <v>28</v>
      </c>
      <c r="L216" s="28">
        <f t="shared" si="11"/>
        <v>1952</v>
      </c>
    </row>
    <row r="217" spans="2:12">
      <c r="B217" s="13" t="s">
        <v>235</v>
      </c>
      <c r="C217" s="14" t="s">
        <v>16</v>
      </c>
      <c r="D217" s="15">
        <v>43737</v>
      </c>
      <c r="E217" s="16" t="s">
        <v>450</v>
      </c>
      <c r="F217" s="26">
        <v>8701</v>
      </c>
      <c r="G217" s="17" t="s">
        <v>396</v>
      </c>
      <c r="H217" s="26">
        <v>0</v>
      </c>
      <c r="I217" s="26">
        <f t="shared" si="9"/>
        <v>435</v>
      </c>
      <c r="J217" s="18" t="s">
        <v>434</v>
      </c>
      <c r="K217" s="27">
        <f t="shared" si="10"/>
        <v>305</v>
      </c>
      <c r="L217" s="28">
        <f t="shared" si="11"/>
        <v>9136</v>
      </c>
    </row>
    <row r="218" spans="2:12">
      <c r="B218" s="13" t="s">
        <v>236</v>
      </c>
      <c r="C218" s="14" t="s">
        <v>15</v>
      </c>
      <c r="D218" s="15">
        <v>43738</v>
      </c>
      <c r="E218" s="16" t="s">
        <v>450</v>
      </c>
      <c r="F218" s="26">
        <v>6264</v>
      </c>
      <c r="G218" s="17" t="s">
        <v>399</v>
      </c>
      <c r="H218" s="26">
        <v>112</v>
      </c>
      <c r="I218" s="26">
        <f t="shared" si="9"/>
        <v>319</v>
      </c>
      <c r="J218" s="18" t="s">
        <v>435</v>
      </c>
      <c r="K218" s="27">
        <f t="shared" si="10"/>
        <v>188</v>
      </c>
      <c r="L218" s="28">
        <f t="shared" si="11"/>
        <v>6583</v>
      </c>
    </row>
    <row r="219" spans="2:12">
      <c r="B219" s="13" t="s">
        <v>237</v>
      </c>
      <c r="C219" s="14" t="s">
        <v>16</v>
      </c>
      <c r="D219" s="15">
        <v>43741</v>
      </c>
      <c r="E219" s="16" t="s">
        <v>452</v>
      </c>
      <c r="F219" s="26">
        <v>5262</v>
      </c>
      <c r="G219" s="17" t="s">
        <v>12</v>
      </c>
      <c r="H219" s="26">
        <v>94</v>
      </c>
      <c r="I219" s="26">
        <f t="shared" si="9"/>
        <v>268</v>
      </c>
      <c r="J219" s="18" t="s">
        <v>435</v>
      </c>
      <c r="K219" s="27">
        <f t="shared" si="10"/>
        <v>132</v>
      </c>
      <c r="L219" s="28">
        <f t="shared" si="11"/>
        <v>5530</v>
      </c>
    </row>
    <row r="220" spans="2:12">
      <c r="B220" s="13" t="s">
        <v>238</v>
      </c>
      <c r="C220" s="16" t="s">
        <v>14</v>
      </c>
      <c r="D220" s="15">
        <v>43743</v>
      </c>
      <c r="E220" s="16" t="s">
        <v>450</v>
      </c>
      <c r="F220" s="26">
        <v>6581</v>
      </c>
      <c r="G220" s="17" t="s">
        <v>11</v>
      </c>
      <c r="H220" s="26">
        <v>0</v>
      </c>
      <c r="I220" s="26">
        <f t="shared" si="9"/>
        <v>329</v>
      </c>
      <c r="J220" s="18" t="s">
        <v>434</v>
      </c>
      <c r="K220" s="27">
        <f t="shared" si="10"/>
        <v>197</v>
      </c>
      <c r="L220" s="28">
        <f t="shared" si="11"/>
        <v>6910</v>
      </c>
    </row>
    <row r="221" spans="2:12">
      <c r="B221" s="13" t="s">
        <v>239</v>
      </c>
      <c r="C221" s="16" t="s">
        <v>14</v>
      </c>
      <c r="D221" s="15">
        <v>43749</v>
      </c>
      <c r="E221" s="16" t="s">
        <v>451</v>
      </c>
      <c r="F221" s="26">
        <v>9116</v>
      </c>
      <c r="G221" s="17" t="s">
        <v>399</v>
      </c>
      <c r="H221" s="26">
        <v>273</v>
      </c>
      <c r="I221" s="26">
        <f t="shared" si="9"/>
        <v>469</v>
      </c>
      <c r="J221" s="18" t="s">
        <v>13</v>
      </c>
      <c r="K221" s="27">
        <f t="shared" si="10"/>
        <v>319</v>
      </c>
      <c r="L221" s="28">
        <f t="shared" si="11"/>
        <v>9585</v>
      </c>
    </row>
    <row r="222" spans="2:12">
      <c r="B222" s="13" t="s">
        <v>240</v>
      </c>
      <c r="C222" s="14" t="s">
        <v>9</v>
      </c>
      <c r="D222" s="15">
        <v>43751</v>
      </c>
      <c r="E222" s="16" t="s">
        <v>10</v>
      </c>
      <c r="F222" s="26">
        <v>7450</v>
      </c>
      <c r="G222" s="17" t="s">
        <v>396</v>
      </c>
      <c r="H222" s="26">
        <v>223</v>
      </c>
      <c r="I222" s="26">
        <f t="shared" si="9"/>
        <v>384</v>
      </c>
      <c r="J222" s="18" t="s">
        <v>13</v>
      </c>
      <c r="K222" s="27">
        <f t="shared" si="10"/>
        <v>224</v>
      </c>
      <c r="L222" s="28">
        <f t="shared" si="11"/>
        <v>7834</v>
      </c>
    </row>
    <row r="223" spans="2:12">
      <c r="B223" s="13" t="s">
        <v>241</v>
      </c>
      <c r="C223" s="14" t="s">
        <v>16</v>
      </c>
      <c r="D223" s="15">
        <v>43757</v>
      </c>
      <c r="E223" s="16" t="s">
        <v>453</v>
      </c>
      <c r="F223" s="26">
        <v>3728</v>
      </c>
      <c r="G223" s="17" t="s">
        <v>396</v>
      </c>
      <c r="H223" s="26">
        <v>0</v>
      </c>
      <c r="I223" s="26">
        <f t="shared" si="9"/>
        <v>186</v>
      </c>
      <c r="J223" s="18" t="s">
        <v>434</v>
      </c>
      <c r="K223" s="27">
        <f t="shared" si="10"/>
        <v>93</v>
      </c>
      <c r="L223" s="28">
        <f t="shared" si="11"/>
        <v>3914</v>
      </c>
    </row>
    <row r="224" spans="2:12">
      <c r="B224" s="13" t="s">
        <v>242</v>
      </c>
      <c r="C224" s="16" t="s">
        <v>14</v>
      </c>
      <c r="D224" s="15">
        <v>43759</v>
      </c>
      <c r="E224" s="16" t="s">
        <v>10</v>
      </c>
      <c r="F224" s="26">
        <v>9085</v>
      </c>
      <c r="G224" s="17" t="s">
        <v>11</v>
      </c>
      <c r="H224" s="26">
        <v>0</v>
      </c>
      <c r="I224" s="26">
        <f t="shared" si="9"/>
        <v>454</v>
      </c>
      <c r="J224" s="18" t="s">
        <v>439</v>
      </c>
      <c r="K224" s="27">
        <f t="shared" si="10"/>
        <v>318</v>
      </c>
      <c r="L224" s="28">
        <f t="shared" si="11"/>
        <v>9539</v>
      </c>
    </row>
    <row r="225" spans="2:12">
      <c r="B225" s="13" t="s">
        <v>243</v>
      </c>
      <c r="C225" s="14" t="s">
        <v>17</v>
      </c>
      <c r="D225" s="15">
        <v>43770</v>
      </c>
      <c r="E225" s="16" t="s">
        <v>450</v>
      </c>
      <c r="F225" s="26">
        <v>5338</v>
      </c>
      <c r="G225" s="17" t="s">
        <v>12</v>
      </c>
      <c r="H225" s="26">
        <v>0</v>
      </c>
      <c r="I225" s="26">
        <f t="shared" si="9"/>
        <v>267</v>
      </c>
      <c r="J225" s="18" t="s">
        <v>439</v>
      </c>
      <c r="K225" s="27">
        <f t="shared" si="10"/>
        <v>133</v>
      </c>
      <c r="L225" s="28">
        <f t="shared" si="11"/>
        <v>5605</v>
      </c>
    </row>
    <row r="226" spans="2:12">
      <c r="B226" s="13" t="s">
        <v>244</v>
      </c>
      <c r="C226" s="16" t="s">
        <v>14</v>
      </c>
      <c r="D226" s="15">
        <v>43770</v>
      </c>
      <c r="E226" s="16" t="s">
        <v>18</v>
      </c>
      <c r="F226" s="26">
        <v>6289</v>
      </c>
      <c r="G226" s="17" t="s">
        <v>399</v>
      </c>
      <c r="H226" s="26">
        <v>0</v>
      </c>
      <c r="I226" s="26">
        <f t="shared" si="9"/>
        <v>314</v>
      </c>
      <c r="J226" s="18" t="s">
        <v>434</v>
      </c>
      <c r="K226" s="27">
        <f t="shared" si="10"/>
        <v>189</v>
      </c>
      <c r="L226" s="28">
        <f t="shared" si="11"/>
        <v>6603</v>
      </c>
    </row>
    <row r="227" spans="2:12">
      <c r="B227" s="13" t="s">
        <v>245</v>
      </c>
      <c r="C227" s="14" t="s">
        <v>15</v>
      </c>
      <c r="D227" s="15">
        <v>43772</v>
      </c>
      <c r="E227" s="16" t="s">
        <v>453</v>
      </c>
      <c r="F227" s="26">
        <v>3206</v>
      </c>
      <c r="G227" s="17" t="s">
        <v>12</v>
      </c>
      <c r="H227" s="26">
        <v>96</v>
      </c>
      <c r="I227" s="26">
        <f t="shared" si="9"/>
        <v>165</v>
      </c>
      <c r="J227" s="18" t="s">
        <v>13</v>
      </c>
      <c r="K227" s="27">
        <f t="shared" si="10"/>
        <v>64</v>
      </c>
      <c r="L227" s="28">
        <f t="shared" si="11"/>
        <v>3371</v>
      </c>
    </row>
    <row r="228" spans="2:12">
      <c r="B228" s="13" t="s">
        <v>246</v>
      </c>
      <c r="C228" s="19" t="s">
        <v>20</v>
      </c>
      <c r="D228" s="15">
        <v>43772</v>
      </c>
      <c r="E228" s="16" t="s">
        <v>452</v>
      </c>
      <c r="F228" s="26">
        <v>19</v>
      </c>
      <c r="G228" s="17" t="s">
        <v>396</v>
      </c>
      <c r="H228" s="26">
        <v>0</v>
      </c>
      <c r="I228" s="26">
        <f t="shared" si="9"/>
        <v>1</v>
      </c>
      <c r="J228" s="18" t="s">
        <v>439</v>
      </c>
      <c r="K228" s="27">
        <f t="shared" si="10"/>
        <v>0</v>
      </c>
      <c r="L228" s="28">
        <f t="shared" si="11"/>
        <v>20</v>
      </c>
    </row>
    <row r="229" spans="2:12">
      <c r="B229" s="13" t="s">
        <v>247</v>
      </c>
      <c r="C229" s="16" t="s">
        <v>14</v>
      </c>
      <c r="D229" s="15">
        <v>43773</v>
      </c>
      <c r="E229" s="16" t="s">
        <v>453</v>
      </c>
      <c r="F229" s="26">
        <v>5666</v>
      </c>
      <c r="G229" s="17" t="s">
        <v>11</v>
      </c>
      <c r="H229" s="26">
        <v>0</v>
      </c>
      <c r="I229" s="26">
        <f t="shared" si="9"/>
        <v>283</v>
      </c>
      <c r="J229" s="18" t="s">
        <v>439</v>
      </c>
      <c r="K229" s="27">
        <f t="shared" si="10"/>
        <v>142</v>
      </c>
      <c r="L229" s="28">
        <f t="shared" si="11"/>
        <v>5949</v>
      </c>
    </row>
    <row r="230" spans="2:12">
      <c r="B230" s="13" t="s">
        <v>248</v>
      </c>
      <c r="C230" s="19" t="s">
        <v>20</v>
      </c>
      <c r="D230" s="15">
        <v>43776</v>
      </c>
      <c r="E230" s="16" t="s">
        <v>450</v>
      </c>
      <c r="F230" s="26">
        <v>4903</v>
      </c>
      <c r="G230" s="17" t="s">
        <v>11</v>
      </c>
      <c r="H230" s="26">
        <v>147</v>
      </c>
      <c r="I230" s="26">
        <f t="shared" si="9"/>
        <v>253</v>
      </c>
      <c r="J230" s="18" t="s">
        <v>13</v>
      </c>
      <c r="K230" s="27">
        <f t="shared" si="10"/>
        <v>123</v>
      </c>
      <c r="L230" s="28">
        <f t="shared" si="11"/>
        <v>5156</v>
      </c>
    </row>
    <row r="231" spans="2:12">
      <c r="B231" s="13" t="s">
        <v>249</v>
      </c>
      <c r="C231" s="14" t="s">
        <v>9</v>
      </c>
      <c r="D231" s="15">
        <v>43778</v>
      </c>
      <c r="E231" s="16" t="s">
        <v>450</v>
      </c>
      <c r="F231" s="26">
        <v>7465</v>
      </c>
      <c r="G231" s="17" t="s">
        <v>399</v>
      </c>
      <c r="H231" s="26">
        <v>0</v>
      </c>
      <c r="I231" s="26">
        <f t="shared" si="9"/>
        <v>373</v>
      </c>
      <c r="J231" s="18" t="s">
        <v>439</v>
      </c>
      <c r="K231" s="27">
        <f t="shared" si="10"/>
        <v>224</v>
      </c>
      <c r="L231" s="28">
        <f t="shared" si="11"/>
        <v>7838</v>
      </c>
    </row>
    <row r="232" spans="2:12">
      <c r="B232" s="13" t="s">
        <v>250</v>
      </c>
      <c r="C232" s="14" t="s">
        <v>9</v>
      </c>
      <c r="D232" s="15">
        <v>43779</v>
      </c>
      <c r="E232" s="16" t="s">
        <v>450</v>
      </c>
      <c r="F232" s="26">
        <v>3650</v>
      </c>
      <c r="G232" s="17" t="s">
        <v>397</v>
      </c>
      <c r="H232" s="26">
        <v>0</v>
      </c>
      <c r="I232" s="26">
        <f t="shared" si="9"/>
        <v>183</v>
      </c>
      <c r="J232" s="18" t="s">
        <v>439</v>
      </c>
      <c r="K232" s="27">
        <f t="shared" si="10"/>
        <v>91</v>
      </c>
      <c r="L232" s="28">
        <f t="shared" si="11"/>
        <v>3833</v>
      </c>
    </row>
    <row r="233" spans="2:12">
      <c r="B233" s="13" t="s">
        <v>251</v>
      </c>
      <c r="C233" s="19" t="s">
        <v>20</v>
      </c>
      <c r="D233" s="15">
        <v>43780</v>
      </c>
      <c r="E233" s="16" t="s">
        <v>451</v>
      </c>
      <c r="F233" s="26">
        <v>1189</v>
      </c>
      <c r="G233" s="17" t="s">
        <v>399</v>
      </c>
      <c r="H233" s="26">
        <v>35</v>
      </c>
      <c r="I233" s="26">
        <f t="shared" si="9"/>
        <v>61</v>
      </c>
      <c r="J233" s="18" t="s">
        <v>13</v>
      </c>
      <c r="K233" s="27">
        <f t="shared" si="10"/>
        <v>12</v>
      </c>
      <c r="L233" s="28">
        <f t="shared" si="11"/>
        <v>1250</v>
      </c>
    </row>
    <row r="234" spans="2:12">
      <c r="B234" s="13" t="s">
        <v>252</v>
      </c>
      <c r="C234" s="14" t="s">
        <v>17</v>
      </c>
      <c r="D234" s="15">
        <v>43781</v>
      </c>
      <c r="E234" s="16" t="s">
        <v>10</v>
      </c>
      <c r="F234" s="26">
        <v>34</v>
      </c>
      <c r="G234" s="17" t="s">
        <v>12</v>
      </c>
      <c r="H234" s="26">
        <v>0</v>
      </c>
      <c r="I234" s="26">
        <f t="shared" si="9"/>
        <v>2</v>
      </c>
      <c r="J234" s="18" t="s">
        <v>434</v>
      </c>
      <c r="K234" s="27">
        <f t="shared" si="10"/>
        <v>0</v>
      </c>
      <c r="L234" s="28">
        <f t="shared" si="11"/>
        <v>36</v>
      </c>
    </row>
    <row r="235" spans="2:12">
      <c r="B235" s="13" t="s">
        <v>253</v>
      </c>
      <c r="C235" s="19" t="s">
        <v>20</v>
      </c>
      <c r="D235" s="15">
        <v>43783</v>
      </c>
      <c r="E235" s="16" t="s">
        <v>450</v>
      </c>
      <c r="F235" s="26">
        <v>7870</v>
      </c>
      <c r="G235" s="17" t="s">
        <v>396</v>
      </c>
      <c r="H235" s="26">
        <v>0</v>
      </c>
      <c r="I235" s="26">
        <f t="shared" si="9"/>
        <v>394</v>
      </c>
      <c r="J235" s="18" t="s">
        <v>434</v>
      </c>
      <c r="K235" s="27">
        <f t="shared" si="10"/>
        <v>236</v>
      </c>
      <c r="L235" s="28">
        <f t="shared" si="11"/>
        <v>8264</v>
      </c>
    </row>
    <row r="236" spans="2:12">
      <c r="B236" s="13" t="s">
        <v>254</v>
      </c>
      <c r="C236" s="14" t="s">
        <v>9</v>
      </c>
      <c r="D236" s="15">
        <v>43784</v>
      </c>
      <c r="E236" s="16" t="s">
        <v>450</v>
      </c>
      <c r="F236" s="26">
        <v>7959</v>
      </c>
      <c r="G236" s="17" t="s">
        <v>11</v>
      </c>
      <c r="H236" s="26">
        <v>0</v>
      </c>
      <c r="I236" s="26">
        <f t="shared" si="9"/>
        <v>398</v>
      </c>
      <c r="J236" s="18" t="s">
        <v>434</v>
      </c>
      <c r="K236" s="27">
        <f t="shared" si="10"/>
        <v>239</v>
      </c>
      <c r="L236" s="28">
        <f t="shared" si="11"/>
        <v>8357</v>
      </c>
    </row>
    <row r="237" spans="2:12">
      <c r="B237" s="13" t="s">
        <v>255</v>
      </c>
      <c r="C237" s="16" t="s">
        <v>14</v>
      </c>
      <c r="D237" s="15">
        <v>43785</v>
      </c>
      <c r="E237" s="16" t="s">
        <v>18</v>
      </c>
      <c r="F237" s="26">
        <v>3888</v>
      </c>
      <c r="G237" s="17" t="s">
        <v>11</v>
      </c>
      <c r="H237" s="26">
        <v>69</v>
      </c>
      <c r="I237" s="26">
        <f t="shared" si="9"/>
        <v>198</v>
      </c>
      <c r="J237" s="18" t="s">
        <v>435</v>
      </c>
      <c r="K237" s="27">
        <f t="shared" si="10"/>
        <v>97</v>
      </c>
      <c r="L237" s="28">
        <f t="shared" si="11"/>
        <v>4086</v>
      </c>
    </row>
    <row r="238" spans="2:12">
      <c r="B238" s="13" t="s">
        <v>256</v>
      </c>
      <c r="C238" s="19" t="s">
        <v>20</v>
      </c>
      <c r="D238" s="15">
        <v>43791</v>
      </c>
      <c r="E238" s="16" t="s">
        <v>452</v>
      </c>
      <c r="F238" s="26">
        <v>654</v>
      </c>
      <c r="G238" s="17" t="s">
        <v>11</v>
      </c>
      <c r="H238" s="26">
        <v>13</v>
      </c>
      <c r="I238" s="26">
        <f t="shared" si="9"/>
        <v>33</v>
      </c>
      <c r="J238" s="18" t="s">
        <v>439</v>
      </c>
      <c r="K238" s="27">
        <f t="shared" si="10"/>
        <v>0</v>
      </c>
      <c r="L238" s="28">
        <f t="shared" si="11"/>
        <v>687</v>
      </c>
    </row>
    <row r="239" spans="2:12">
      <c r="B239" s="13" t="s">
        <v>257</v>
      </c>
      <c r="C239" s="19" t="s">
        <v>20</v>
      </c>
      <c r="D239" s="15">
        <v>43794</v>
      </c>
      <c r="E239" s="16" t="s">
        <v>453</v>
      </c>
      <c r="F239" s="26">
        <v>9388</v>
      </c>
      <c r="G239" s="17" t="s">
        <v>12</v>
      </c>
      <c r="H239" s="26">
        <v>0</v>
      </c>
      <c r="I239" s="26">
        <f t="shared" si="9"/>
        <v>469</v>
      </c>
      <c r="J239" s="18" t="s">
        <v>434</v>
      </c>
      <c r="K239" s="27">
        <f t="shared" si="10"/>
        <v>329</v>
      </c>
      <c r="L239" s="28">
        <f t="shared" si="11"/>
        <v>9857</v>
      </c>
    </row>
    <row r="240" spans="2:12">
      <c r="B240" s="13" t="s">
        <v>258</v>
      </c>
      <c r="C240" s="14" t="s">
        <v>15</v>
      </c>
      <c r="D240" s="15">
        <v>43795</v>
      </c>
      <c r="E240" s="16" t="s">
        <v>452</v>
      </c>
      <c r="F240" s="26">
        <v>8105</v>
      </c>
      <c r="G240" s="17" t="s">
        <v>399</v>
      </c>
      <c r="H240" s="26">
        <v>243</v>
      </c>
      <c r="I240" s="26">
        <f t="shared" si="9"/>
        <v>417</v>
      </c>
      <c r="J240" s="18" t="s">
        <v>13</v>
      </c>
      <c r="K240" s="27">
        <f t="shared" si="10"/>
        <v>284</v>
      </c>
      <c r="L240" s="28">
        <f t="shared" si="11"/>
        <v>8522</v>
      </c>
    </row>
    <row r="241" spans="2:12">
      <c r="B241" s="13" t="s">
        <v>259</v>
      </c>
      <c r="C241" s="14" t="s">
        <v>17</v>
      </c>
      <c r="D241" s="15">
        <v>43795</v>
      </c>
      <c r="E241" s="16" t="s">
        <v>450</v>
      </c>
      <c r="F241" s="26">
        <v>698</v>
      </c>
      <c r="G241" s="17" t="s">
        <v>11</v>
      </c>
      <c r="H241" s="26">
        <v>12</v>
      </c>
      <c r="I241" s="26">
        <f t="shared" si="9"/>
        <v>36</v>
      </c>
      <c r="J241" s="18" t="s">
        <v>435</v>
      </c>
      <c r="K241" s="27">
        <f t="shared" si="10"/>
        <v>0</v>
      </c>
      <c r="L241" s="28">
        <f t="shared" si="11"/>
        <v>734</v>
      </c>
    </row>
    <row r="242" spans="2:12">
      <c r="B242" s="13" t="s">
        <v>260</v>
      </c>
      <c r="C242" s="19" t="s">
        <v>20</v>
      </c>
      <c r="D242" s="15">
        <v>43802</v>
      </c>
      <c r="E242" s="16" t="s">
        <v>18</v>
      </c>
      <c r="F242" s="26">
        <v>3665</v>
      </c>
      <c r="G242" s="17" t="s">
        <v>11</v>
      </c>
      <c r="H242" s="26">
        <v>0</v>
      </c>
      <c r="I242" s="26">
        <f t="shared" si="9"/>
        <v>183</v>
      </c>
      <c r="J242" s="18" t="s">
        <v>439</v>
      </c>
      <c r="K242" s="27">
        <f t="shared" si="10"/>
        <v>92</v>
      </c>
      <c r="L242" s="28">
        <f t="shared" si="11"/>
        <v>3848</v>
      </c>
    </row>
    <row r="243" spans="2:12">
      <c r="B243" s="13" t="s">
        <v>261</v>
      </c>
      <c r="C243" s="14" t="s">
        <v>15</v>
      </c>
      <c r="D243" s="15">
        <v>43802</v>
      </c>
      <c r="E243" s="16" t="s">
        <v>10</v>
      </c>
      <c r="F243" s="26">
        <v>8891</v>
      </c>
      <c r="G243" s="17" t="s">
        <v>11</v>
      </c>
      <c r="H243" s="26">
        <v>0</v>
      </c>
      <c r="I243" s="26">
        <f t="shared" si="9"/>
        <v>445</v>
      </c>
      <c r="J243" s="18" t="s">
        <v>434</v>
      </c>
      <c r="K243" s="27">
        <f t="shared" si="10"/>
        <v>311</v>
      </c>
      <c r="L243" s="28">
        <f t="shared" si="11"/>
        <v>9336</v>
      </c>
    </row>
    <row r="244" spans="2:12">
      <c r="B244" s="13" t="s">
        <v>262</v>
      </c>
      <c r="C244" s="16" t="s">
        <v>14</v>
      </c>
      <c r="D244" s="15">
        <v>43803</v>
      </c>
      <c r="E244" s="16" t="s">
        <v>452</v>
      </c>
      <c r="F244" s="26">
        <v>1540</v>
      </c>
      <c r="G244" s="17" t="s">
        <v>12</v>
      </c>
      <c r="H244" s="26">
        <v>30</v>
      </c>
      <c r="I244" s="26">
        <f t="shared" si="9"/>
        <v>79</v>
      </c>
      <c r="J244" s="18" t="s">
        <v>439</v>
      </c>
      <c r="K244" s="27">
        <f t="shared" si="10"/>
        <v>23</v>
      </c>
      <c r="L244" s="28">
        <f t="shared" si="11"/>
        <v>1619</v>
      </c>
    </row>
    <row r="245" spans="2:12">
      <c r="B245" s="13" t="s">
        <v>263</v>
      </c>
      <c r="C245" s="16" t="s">
        <v>14</v>
      </c>
      <c r="D245" s="15">
        <v>43813</v>
      </c>
      <c r="E245" s="16" t="s">
        <v>18</v>
      </c>
      <c r="F245" s="26">
        <v>8929</v>
      </c>
      <c r="G245" s="17" t="s">
        <v>12</v>
      </c>
      <c r="H245" s="26">
        <v>0</v>
      </c>
      <c r="I245" s="26">
        <f t="shared" si="9"/>
        <v>446</v>
      </c>
      <c r="J245" s="18" t="s">
        <v>434</v>
      </c>
      <c r="K245" s="27">
        <f t="shared" si="10"/>
        <v>313</v>
      </c>
      <c r="L245" s="28">
        <f t="shared" si="11"/>
        <v>9375</v>
      </c>
    </row>
    <row r="246" spans="2:12">
      <c r="B246" s="13" t="s">
        <v>264</v>
      </c>
      <c r="C246" s="14" t="s">
        <v>19</v>
      </c>
      <c r="D246" s="15">
        <v>43814</v>
      </c>
      <c r="E246" s="16" t="s">
        <v>451</v>
      </c>
      <c r="F246" s="26">
        <v>7614</v>
      </c>
      <c r="G246" s="17" t="s">
        <v>12</v>
      </c>
      <c r="H246" s="26">
        <v>228</v>
      </c>
      <c r="I246" s="26">
        <f t="shared" si="9"/>
        <v>392</v>
      </c>
      <c r="J246" s="18" t="s">
        <v>13</v>
      </c>
      <c r="K246" s="27">
        <f t="shared" si="10"/>
        <v>228</v>
      </c>
      <c r="L246" s="28">
        <f t="shared" si="11"/>
        <v>8006</v>
      </c>
    </row>
    <row r="247" spans="2:12">
      <c r="B247" s="13" t="s">
        <v>265</v>
      </c>
      <c r="C247" s="14" t="s">
        <v>16</v>
      </c>
      <c r="D247" s="15">
        <v>43816</v>
      </c>
      <c r="E247" s="16" t="s">
        <v>10</v>
      </c>
      <c r="F247" s="26">
        <v>7867</v>
      </c>
      <c r="G247" s="17" t="s">
        <v>12</v>
      </c>
      <c r="H247" s="26">
        <v>236</v>
      </c>
      <c r="I247" s="26">
        <f t="shared" si="9"/>
        <v>405</v>
      </c>
      <c r="J247" s="18" t="s">
        <v>13</v>
      </c>
      <c r="K247" s="27">
        <f t="shared" si="10"/>
        <v>236</v>
      </c>
      <c r="L247" s="28">
        <f t="shared" si="11"/>
        <v>8272</v>
      </c>
    </row>
    <row r="248" spans="2:12">
      <c r="B248" s="13" t="s">
        <v>266</v>
      </c>
      <c r="C248" s="19" t="s">
        <v>20</v>
      </c>
      <c r="D248" s="15">
        <v>43817</v>
      </c>
      <c r="E248" s="16" t="s">
        <v>450</v>
      </c>
      <c r="F248" s="26">
        <v>1540</v>
      </c>
      <c r="G248" s="17" t="s">
        <v>12</v>
      </c>
      <c r="H248" s="26">
        <v>0</v>
      </c>
      <c r="I248" s="26">
        <f t="shared" si="9"/>
        <v>77</v>
      </c>
      <c r="J248" s="18" t="s">
        <v>434</v>
      </c>
      <c r="K248" s="27">
        <f t="shared" si="10"/>
        <v>23</v>
      </c>
      <c r="L248" s="28">
        <f t="shared" si="11"/>
        <v>1617</v>
      </c>
    </row>
    <row r="249" spans="2:12">
      <c r="B249" s="13" t="s">
        <v>267</v>
      </c>
      <c r="C249" s="14" t="s">
        <v>16</v>
      </c>
      <c r="D249" s="15">
        <v>43817</v>
      </c>
      <c r="E249" s="16" t="s">
        <v>452</v>
      </c>
      <c r="F249" s="26">
        <v>2851</v>
      </c>
      <c r="G249" s="17" t="s">
        <v>12</v>
      </c>
      <c r="H249" s="26">
        <v>51</v>
      </c>
      <c r="I249" s="26">
        <f t="shared" si="9"/>
        <v>145</v>
      </c>
      <c r="J249" s="18" t="s">
        <v>435</v>
      </c>
      <c r="K249" s="27">
        <f t="shared" si="10"/>
        <v>57</v>
      </c>
      <c r="L249" s="28">
        <f t="shared" si="11"/>
        <v>2996</v>
      </c>
    </row>
    <row r="250" spans="2:12">
      <c r="B250" s="13" t="s">
        <v>268</v>
      </c>
      <c r="C250" s="14" t="s">
        <v>9</v>
      </c>
      <c r="D250" s="15">
        <v>43820</v>
      </c>
      <c r="E250" s="16" t="s">
        <v>18</v>
      </c>
      <c r="F250" s="26">
        <v>6520</v>
      </c>
      <c r="G250" s="17" t="s">
        <v>399</v>
      </c>
      <c r="H250" s="26">
        <v>0</v>
      </c>
      <c r="I250" s="26">
        <f t="shared" si="9"/>
        <v>326</v>
      </c>
      <c r="J250" s="18" t="s">
        <v>439</v>
      </c>
      <c r="K250" s="27">
        <f t="shared" si="10"/>
        <v>196</v>
      </c>
      <c r="L250" s="28">
        <f t="shared" si="11"/>
        <v>6846</v>
      </c>
    </row>
    <row r="251" spans="2:12">
      <c r="B251" s="13" t="s">
        <v>269</v>
      </c>
      <c r="C251" s="14" t="s">
        <v>15</v>
      </c>
      <c r="D251" s="15">
        <v>43824</v>
      </c>
      <c r="E251" s="16" t="s">
        <v>452</v>
      </c>
      <c r="F251" s="26">
        <v>5226</v>
      </c>
      <c r="G251" s="17" t="s">
        <v>399</v>
      </c>
      <c r="H251" s="26">
        <v>94</v>
      </c>
      <c r="I251" s="26">
        <f t="shared" si="9"/>
        <v>266</v>
      </c>
      <c r="J251" s="18" t="s">
        <v>435</v>
      </c>
      <c r="K251" s="27">
        <f t="shared" si="10"/>
        <v>131</v>
      </c>
      <c r="L251" s="28">
        <f t="shared" si="11"/>
        <v>5492</v>
      </c>
    </row>
    <row r="252" spans="2:12">
      <c r="B252" s="13" t="s">
        <v>270</v>
      </c>
      <c r="C252" s="16" t="s">
        <v>14</v>
      </c>
      <c r="D252" s="15">
        <v>43831</v>
      </c>
      <c r="E252" s="16" t="s">
        <v>451</v>
      </c>
      <c r="F252" s="26">
        <v>1699</v>
      </c>
      <c r="G252" s="17" t="s">
        <v>11</v>
      </c>
      <c r="H252" s="26">
        <v>33</v>
      </c>
      <c r="I252" s="26">
        <f t="shared" si="9"/>
        <v>87</v>
      </c>
      <c r="J252" s="18" t="s">
        <v>439</v>
      </c>
      <c r="K252" s="27">
        <f t="shared" si="10"/>
        <v>25</v>
      </c>
      <c r="L252" s="28">
        <f t="shared" si="11"/>
        <v>1786</v>
      </c>
    </row>
    <row r="253" spans="2:12">
      <c r="B253" s="13" t="s">
        <v>271</v>
      </c>
      <c r="C253" s="16" t="s">
        <v>14</v>
      </c>
      <c r="D253" s="15">
        <v>43833</v>
      </c>
      <c r="E253" s="16" t="s">
        <v>451</v>
      </c>
      <c r="F253" s="26">
        <v>3340</v>
      </c>
      <c r="G253" s="17" t="s">
        <v>399</v>
      </c>
      <c r="H253" s="26">
        <v>100</v>
      </c>
      <c r="I253" s="26">
        <f t="shared" si="9"/>
        <v>172</v>
      </c>
      <c r="J253" s="18" t="s">
        <v>13</v>
      </c>
      <c r="K253" s="27">
        <f t="shared" si="10"/>
        <v>67</v>
      </c>
      <c r="L253" s="28">
        <f t="shared" si="11"/>
        <v>3512</v>
      </c>
    </row>
    <row r="254" spans="2:12">
      <c r="B254" s="13" t="s">
        <v>272</v>
      </c>
      <c r="C254" s="16" t="s">
        <v>14</v>
      </c>
      <c r="D254" s="15">
        <v>43834</v>
      </c>
      <c r="E254" s="16" t="s">
        <v>452</v>
      </c>
      <c r="F254" s="26">
        <v>6793</v>
      </c>
      <c r="G254" s="17" t="s">
        <v>11</v>
      </c>
      <c r="H254" s="26">
        <v>203</v>
      </c>
      <c r="I254" s="26">
        <f t="shared" si="9"/>
        <v>350</v>
      </c>
      <c r="J254" s="18" t="s">
        <v>13</v>
      </c>
      <c r="K254" s="27">
        <f t="shared" si="10"/>
        <v>204</v>
      </c>
      <c r="L254" s="28">
        <f t="shared" si="11"/>
        <v>7143</v>
      </c>
    </row>
    <row r="255" spans="2:12">
      <c r="B255" s="13" t="s">
        <v>273</v>
      </c>
      <c r="C255" s="19" t="s">
        <v>20</v>
      </c>
      <c r="D255" s="15">
        <v>43836</v>
      </c>
      <c r="E255" s="16" t="s">
        <v>450</v>
      </c>
      <c r="F255" s="26">
        <v>211</v>
      </c>
      <c r="G255" s="17" t="s">
        <v>396</v>
      </c>
      <c r="H255" s="26">
        <v>0</v>
      </c>
      <c r="I255" s="26">
        <f t="shared" si="9"/>
        <v>11</v>
      </c>
      <c r="J255" s="18" t="s">
        <v>434</v>
      </c>
      <c r="K255" s="27">
        <f t="shared" si="10"/>
        <v>0</v>
      </c>
      <c r="L255" s="28">
        <f t="shared" si="11"/>
        <v>222</v>
      </c>
    </row>
    <row r="256" spans="2:12">
      <c r="B256" s="13" t="s">
        <v>274</v>
      </c>
      <c r="C256" s="14" t="s">
        <v>19</v>
      </c>
      <c r="D256" s="15">
        <v>43843</v>
      </c>
      <c r="E256" s="16" t="s">
        <v>453</v>
      </c>
      <c r="F256" s="26">
        <v>8621</v>
      </c>
      <c r="G256" s="17" t="s">
        <v>12</v>
      </c>
      <c r="H256" s="26">
        <v>155</v>
      </c>
      <c r="I256" s="26">
        <f t="shared" si="9"/>
        <v>439</v>
      </c>
      <c r="J256" s="18" t="s">
        <v>435</v>
      </c>
      <c r="K256" s="27">
        <f t="shared" si="10"/>
        <v>302</v>
      </c>
      <c r="L256" s="28">
        <f t="shared" si="11"/>
        <v>9060</v>
      </c>
    </row>
    <row r="257" spans="2:12">
      <c r="B257" s="13" t="s">
        <v>275</v>
      </c>
      <c r="C257" s="14" t="s">
        <v>9</v>
      </c>
      <c r="D257" s="15">
        <v>43844</v>
      </c>
      <c r="E257" s="16" t="s">
        <v>452</v>
      </c>
      <c r="F257" s="26">
        <v>6977</v>
      </c>
      <c r="G257" s="17" t="s">
        <v>397</v>
      </c>
      <c r="H257" s="26">
        <v>125</v>
      </c>
      <c r="I257" s="26">
        <f t="shared" si="9"/>
        <v>355</v>
      </c>
      <c r="J257" s="18" t="s">
        <v>435</v>
      </c>
      <c r="K257" s="27">
        <f t="shared" si="10"/>
        <v>209</v>
      </c>
      <c r="L257" s="28">
        <f t="shared" si="11"/>
        <v>7332</v>
      </c>
    </row>
    <row r="258" spans="2:12">
      <c r="B258" s="13" t="s">
        <v>276</v>
      </c>
      <c r="C258" s="14" t="s">
        <v>15</v>
      </c>
      <c r="D258" s="15">
        <v>43848</v>
      </c>
      <c r="E258" s="16" t="s">
        <v>453</v>
      </c>
      <c r="F258" s="26">
        <v>112</v>
      </c>
      <c r="G258" s="17" t="s">
        <v>12</v>
      </c>
      <c r="H258" s="26">
        <v>2</v>
      </c>
      <c r="I258" s="26">
        <f t="shared" si="9"/>
        <v>6</v>
      </c>
      <c r="J258" s="18" t="s">
        <v>439</v>
      </c>
      <c r="K258" s="27">
        <f t="shared" si="10"/>
        <v>0</v>
      </c>
      <c r="L258" s="28">
        <f t="shared" si="11"/>
        <v>118</v>
      </c>
    </row>
    <row r="259" spans="2:12">
      <c r="B259" s="13" t="s">
        <v>277</v>
      </c>
      <c r="C259" s="14" t="s">
        <v>17</v>
      </c>
      <c r="D259" s="15">
        <v>43850</v>
      </c>
      <c r="E259" s="16" t="s">
        <v>451</v>
      </c>
      <c r="F259" s="26">
        <v>948</v>
      </c>
      <c r="G259" s="17" t="s">
        <v>399</v>
      </c>
      <c r="H259" s="26">
        <v>18</v>
      </c>
      <c r="I259" s="26">
        <f t="shared" ref="I259:I322" si="12">ROUND((F259+H259)*0.05,0)</f>
        <v>48</v>
      </c>
      <c r="J259" s="18" t="s">
        <v>439</v>
      </c>
      <c r="K259" s="27">
        <f t="shared" ref="K259:K322" si="13">ROUND(VLOOKUP(F259,獎金比例對照表,2,TRUE)*F259,0)</f>
        <v>0</v>
      </c>
      <c r="L259" s="28">
        <f t="shared" ref="L259:L322" si="14">F259+I259</f>
        <v>996</v>
      </c>
    </row>
    <row r="260" spans="2:12">
      <c r="B260" s="13" t="s">
        <v>278</v>
      </c>
      <c r="C260" s="14" t="s">
        <v>16</v>
      </c>
      <c r="D260" s="15">
        <v>43855</v>
      </c>
      <c r="E260" s="16" t="s">
        <v>453</v>
      </c>
      <c r="F260" s="26">
        <v>8211</v>
      </c>
      <c r="G260" s="17" t="s">
        <v>11</v>
      </c>
      <c r="H260" s="26">
        <v>147</v>
      </c>
      <c r="I260" s="26">
        <f t="shared" si="12"/>
        <v>418</v>
      </c>
      <c r="J260" s="18" t="s">
        <v>435</v>
      </c>
      <c r="K260" s="27">
        <f t="shared" si="13"/>
        <v>287</v>
      </c>
      <c r="L260" s="28">
        <f t="shared" si="14"/>
        <v>8629</v>
      </c>
    </row>
    <row r="261" spans="2:12">
      <c r="B261" s="13" t="s">
        <v>279</v>
      </c>
      <c r="C261" s="14" t="s">
        <v>16</v>
      </c>
      <c r="D261" s="15">
        <v>43861</v>
      </c>
      <c r="E261" s="16" t="s">
        <v>451</v>
      </c>
      <c r="F261" s="26">
        <v>768</v>
      </c>
      <c r="G261" s="17" t="s">
        <v>11</v>
      </c>
      <c r="H261" s="26">
        <v>13</v>
      </c>
      <c r="I261" s="26">
        <f t="shared" si="12"/>
        <v>39</v>
      </c>
      <c r="J261" s="18" t="s">
        <v>435</v>
      </c>
      <c r="K261" s="27">
        <f t="shared" si="13"/>
        <v>0</v>
      </c>
      <c r="L261" s="28">
        <f t="shared" si="14"/>
        <v>807</v>
      </c>
    </row>
    <row r="262" spans="2:12">
      <c r="B262" s="13" t="s">
        <v>280</v>
      </c>
      <c r="C262" s="14" t="s">
        <v>17</v>
      </c>
      <c r="D262" s="15">
        <v>43862</v>
      </c>
      <c r="E262" s="16" t="s">
        <v>451</v>
      </c>
      <c r="F262" s="26">
        <v>9313</v>
      </c>
      <c r="G262" s="17" t="s">
        <v>11</v>
      </c>
      <c r="H262" s="26">
        <v>0</v>
      </c>
      <c r="I262" s="26">
        <f t="shared" si="12"/>
        <v>466</v>
      </c>
      <c r="J262" s="18" t="s">
        <v>434</v>
      </c>
      <c r="K262" s="27">
        <f t="shared" si="13"/>
        <v>326</v>
      </c>
      <c r="L262" s="28">
        <f t="shared" si="14"/>
        <v>9779</v>
      </c>
    </row>
    <row r="263" spans="2:12">
      <c r="B263" s="13" t="s">
        <v>281</v>
      </c>
      <c r="C263" s="14" t="s">
        <v>9</v>
      </c>
      <c r="D263" s="15">
        <v>43866</v>
      </c>
      <c r="E263" s="16" t="s">
        <v>450</v>
      </c>
      <c r="F263" s="26">
        <v>1686</v>
      </c>
      <c r="G263" s="17" t="s">
        <v>397</v>
      </c>
      <c r="H263" s="26">
        <v>50</v>
      </c>
      <c r="I263" s="26">
        <f t="shared" si="12"/>
        <v>87</v>
      </c>
      <c r="J263" s="18" t="s">
        <v>13</v>
      </c>
      <c r="K263" s="27">
        <f t="shared" si="13"/>
        <v>25</v>
      </c>
      <c r="L263" s="28">
        <f t="shared" si="14"/>
        <v>1773</v>
      </c>
    </row>
    <row r="264" spans="2:12">
      <c r="B264" s="13" t="s">
        <v>282</v>
      </c>
      <c r="C264" s="19" t="s">
        <v>20</v>
      </c>
      <c r="D264" s="15">
        <v>43869</v>
      </c>
      <c r="E264" s="16" t="s">
        <v>451</v>
      </c>
      <c r="F264" s="26">
        <v>3923</v>
      </c>
      <c r="G264" s="17" t="s">
        <v>396</v>
      </c>
      <c r="H264" s="26">
        <v>117</v>
      </c>
      <c r="I264" s="26">
        <f t="shared" si="12"/>
        <v>202</v>
      </c>
      <c r="J264" s="18" t="s">
        <v>13</v>
      </c>
      <c r="K264" s="27">
        <f t="shared" si="13"/>
        <v>98</v>
      </c>
      <c r="L264" s="28">
        <f t="shared" si="14"/>
        <v>4125</v>
      </c>
    </row>
    <row r="265" spans="2:12">
      <c r="B265" s="13" t="s">
        <v>283</v>
      </c>
      <c r="C265" s="16" t="s">
        <v>14</v>
      </c>
      <c r="D265" s="15">
        <v>43872</v>
      </c>
      <c r="E265" s="16" t="s">
        <v>18</v>
      </c>
      <c r="F265" s="26">
        <v>1657</v>
      </c>
      <c r="G265" s="17" t="s">
        <v>12</v>
      </c>
      <c r="H265" s="26">
        <v>0</v>
      </c>
      <c r="I265" s="26">
        <f t="shared" si="12"/>
        <v>83</v>
      </c>
      <c r="J265" s="18" t="s">
        <v>434</v>
      </c>
      <c r="K265" s="27">
        <f t="shared" si="13"/>
        <v>25</v>
      </c>
      <c r="L265" s="28">
        <f t="shared" si="14"/>
        <v>1740</v>
      </c>
    </row>
    <row r="266" spans="2:12">
      <c r="B266" s="13" t="s">
        <v>284</v>
      </c>
      <c r="C266" s="14" t="s">
        <v>15</v>
      </c>
      <c r="D266" s="15">
        <v>43874</v>
      </c>
      <c r="E266" s="16" t="s">
        <v>450</v>
      </c>
      <c r="F266" s="26">
        <v>1345</v>
      </c>
      <c r="G266" s="17" t="s">
        <v>399</v>
      </c>
      <c r="H266" s="26">
        <v>0</v>
      </c>
      <c r="I266" s="26">
        <f t="shared" si="12"/>
        <v>67</v>
      </c>
      <c r="J266" s="18" t="s">
        <v>434</v>
      </c>
      <c r="K266" s="27">
        <f t="shared" si="13"/>
        <v>13</v>
      </c>
      <c r="L266" s="28">
        <f t="shared" si="14"/>
        <v>1412</v>
      </c>
    </row>
    <row r="267" spans="2:12">
      <c r="B267" s="13" t="s">
        <v>285</v>
      </c>
      <c r="C267" s="16" t="s">
        <v>14</v>
      </c>
      <c r="D267" s="15">
        <v>43878</v>
      </c>
      <c r="E267" s="16" t="s">
        <v>10</v>
      </c>
      <c r="F267" s="26">
        <v>9829</v>
      </c>
      <c r="G267" s="17" t="s">
        <v>398</v>
      </c>
      <c r="H267" s="26">
        <v>294</v>
      </c>
      <c r="I267" s="26">
        <f t="shared" si="12"/>
        <v>506</v>
      </c>
      <c r="J267" s="18" t="s">
        <v>13</v>
      </c>
      <c r="K267" s="27">
        <f t="shared" si="13"/>
        <v>344</v>
      </c>
      <c r="L267" s="28">
        <f t="shared" si="14"/>
        <v>10335</v>
      </c>
    </row>
    <row r="268" spans="2:12">
      <c r="B268" s="13" t="s">
        <v>286</v>
      </c>
      <c r="C268" s="14" t="s">
        <v>15</v>
      </c>
      <c r="D268" s="15">
        <v>43879</v>
      </c>
      <c r="E268" s="16" t="s">
        <v>10</v>
      </c>
      <c r="F268" s="26">
        <v>7388</v>
      </c>
      <c r="G268" s="17" t="s">
        <v>397</v>
      </c>
      <c r="H268" s="26">
        <v>221</v>
      </c>
      <c r="I268" s="26">
        <f t="shared" si="12"/>
        <v>380</v>
      </c>
      <c r="J268" s="18" t="s">
        <v>13</v>
      </c>
      <c r="K268" s="27">
        <f t="shared" si="13"/>
        <v>222</v>
      </c>
      <c r="L268" s="28">
        <f t="shared" si="14"/>
        <v>7768</v>
      </c>
    </row>
    <row r="269" spans="2:12">
      <c r="B269" s="13" t="s">
        <v>287</v>
      </c>
      <c r="C269" s="14" t="s">
        <v>17</v>
      </c>
      <c r="D269" s="15">
        <v>43894</v>
      </c>
      <c r="E269" s="16" t="s">
        <v>453</v>
      </c>
      <c r="F269" s="26">
        <v>7867</v>
      </c>
      <c r="G269" s="17" t="s">
        <v>11</v>
      </c>
      <c r="H269" s="26">
        <v>236</v>
      </c>
      <c r="I269" s="26">
        <f t="shared" si="12"/>
        <v>405</v>
      </c>
      <c r="J269" s="18" t="s">
        <v>13</v>
      </c>
      <c r="K269" s="27">
        <f t="shared" si="13"/>
        <v>236</v>
      </c>
      <c r="L269" s="28">
        <f t="shared" si="14"/>
        <v>8272</v>
      </c>
    </row>
    <row r="270" spans="2:12">
      <c r="B270" s="13" t="s">
        <v>288</v>
      </c>
      <c r="C270" s="14" t="s">
        <v>16</v>
      </c>
      <c r="D270" s="15">
        <v>43894</v>
      </c>
      <c r="E270" s="16" t="s">
        <v>452</v>
      </c>
      <c r="F270" s="26">
        <v>602</v>
      </c>
      <c r="G270" s="17" t="s">
        <v>12</v>
      </c>
      <c r="H270" s="26">
        <v>18</v>
      </c>
      <c r="I270" s="26">
        <f t="shared" si="12"/>
        <v>31</v>
      </c>
      <c r="J270" s="18" t="s">
        <v>13</v>
      </c>
      <c r="K270" s="27">
        <f t="shared" si="13"/>
        <v>0</v>
      </c>
      <c r="L270" s="28">
        <f t="shared" si="14"/>
        <v>633</v>
      </c>
    </row>
    <row r="271" spans="2:12">
      <c r="B271" s="13" t="s">
        <v>289</v>
      </c>
      <c r="C271" s="14" t="s">
        <v>19</v>
      </c>
      <c r="D271" s="15">
        <v>43900</v>
      </c>
      <c r="E271" s="16" t="s">
        <v>452</v>
      </c>
      <c r="F271" s="26">
        <v>6258</v>
      </c>
      <c r="G271" s="17" t="s">
        <v>12</v>
      </c>
      <c r="H271" s="26">
        <v>112</v>
      </c>
      <c r="I271" s="26">
        <f t="shared" si="12"/>
        <v>319</v>
      </c>
      <c r="J271" s="18" t="s">
        <v>435</v>
      </c>
      <c r="K271" s="27">
        <f t="shared" si="13"/>
        <v>188</v>
      </c>
      <c r="L271" s="28">
        <f t="shared" si="14"/>
        <v>6577</v>
      </c>
    </row>
    <row r="272" spans="2:12">
      <c r="B272" s="13" t="s">
        <v>290</v>
      </c>
      <c r="C272" s="14" t="s">
        <v>16</v>
      </c>
      <c r="D272" s="15">
        <v>43901</v>
      </c>
      <c r="E272" s="16" t="s">
        <v>18</v>
      </c>
      <c r="F272" s="26">
        <v>9885</v>
      </c>
      <c r="G272" s="17" t="s">
        <v>12</v>
      </c>
      <c r="H272" s="26">
        <v>0</v>
      </c>
      <c r="I272" s="26">
        <f t="shared" si="12"/>
        <v>494</v>
      </c>
      <c r="J272" s="18" t="s">
        <v>439</v>
      </c>
      <c r="K272" s="27">
        <f t="shared" si="13"/>
        <v>346</v>
      </c>
      <c r="L272" s="28">
        <f t="shared" si="14"/>
        <v>10379</v>
      </c>
    </row>
    <row r="273" spans="2:12">
      <c r="B273" s="13" t="s">
        <v>291</v>
      </c>
      <c r="C273" s="14" t="s">
        <v>9</v>
      </c>
      <c r="D273" s="15">
        <v>43913</v>
      </c>
      <c r="E273" s="16" t="s">
        <v>450</v>
      </c>
      <c r="F273" s="26">
        <v>5145</v>
      </c>
      <c r="G273" s="17" t="s">
        <v>396</v>
      </c>
      <c r="H273" s="26">
        <v>0</v>
      </c>
      <c r="I273" s="26">
        <f t="shared" si="12"/>
        <v>257</v>
      </c>
      <c r="J273" s="18" t="s">
        <v>434</v>
      </c>
      <c r="K273" s="27">
        <f t="shared" si="13"/>
        <v>129</v>
      </c>
      <c r="L273" s="28">
        <f t="shared" si="14"/>
        <v>5402</v>
      </c>
    </row>
    <row r="274" spans="2:12">
      <c r="B274" s="13" t="s">
        <v>292</v>
      </c>
      <c r="C274" s="14" t="s">
        <v>15</v>
      </c>
      <c r="D274" s="15">
        <v>43915</v>
      </c>
      <c r="E274" s="16" t="s">
        <v>453</v>
      </c>
      <c r="F274" s="26">
        <v>8223</v>
      </c>
      <c r="G274" s="17" t="s">
        <v>11</v>
      </c>
      <c r="H274" s="26">
        <v>148</v>
      </c>
      <c r="I274" s="26">
        <f t="shared" si="12"/>
        <v>419</v>
      </c>
      <c r="J274" s="18" t="s">
        <v>435</v>
      </c>
      <c r="K274" s="27">
        <f t="shared" si="13"/>
        <v>288</v>
      </c>
      <c r="L274" s="28">
        <f t="shared" si="14"/>
        <v>8642</v>
      </c>
    </row>
    <row r="275" spans="2:12">
      <c r="B275" s="13" t="s">
        <v>293</v>
      </c>
      <c r="C275" s="14" t="s">
        <v>16</v>
      </c>
      <c r="D275" s="15">
        <v>43915</v>
      </c>
      <c r="E275" s="16" t="s">
        <v>452</v>
      </c>
      <c r="F275" s="26">
        <v>7569</v>
      </c>
      <c r="G275" s="17" t="s">
        <v>399</v>
      </c>
      <c r="H275" s="26">
        <v>227</v>
      </c>
      <c r="I275" s="26">
        <f t="shared" si="12"/>
        <v>390</v>
      </c>
      <c r="J275" s="18" t="s">
        <v>13</v>
      </c>
      <c r="K275" s="27">
        <f t="shared" si="13"/>
        <v>227</v>
      </c>
      <c r="L275" s="28">
        <f t="shared" si="14"/>
        <v>7959</v>
      </c>
    </row>
    <row r="276" spans="2:12">
      <c r="B276" s="13" t="s">
        <v>294</v>
      </c>
      <c r="C276" s="19" t="s">
        <v>20</v>
      </c>
      <c r="D276" s="15">
        <v>43915</v>
      </c>
      <c r="E276" s="16" t="s">
        <v>18</v>
      </c>
      <c r="F276" s="26">
        <v>7406</v>
      </c>
      <c r="G276" s="17" t="s">
        <v>12</v>
      </c>
      <c r="H276" s="26">
        <v>0</v>
      </c>
      <c r="I276" s="26">
        <f t="shared" si="12"/>
        <v>370</v>
      </c>
      <c r="J276" s="18" t="s">
        <v>439</v>
      </c>
      <c r="K276" s="27">
        <f t="shared" si="13"/>
        <v>222</v>
      </c>
      <c r="L276" s="28">
        <f t="shared" si="14"/>
        <v>7776</v>
      </c>
    </row>
    <row r="277" spans="2:12">
      <c r="B277" s="13" t="s">
        <v>295</v>
      </c>
      <c r="C277" s="14" t="s">
        <v>16</v>
      </c>
      <c r="D277" s="15">
        <v>43926</v>
      </c>
      <c r="E277" s="16" t="s">
        <v>452</v>
      </c>
      <c r="F277" s="26">
        <v>2440</v>
      </c>
      <c r="G277" s="17" t="s">
        <v>396</v>
      </c>
      <c r="H277" s="26">
        <v>43</v>
      </c>
      <c r="I277" s="26">
        <f t="shared" si="12"/>
        <v>124</v>
      </c>
      <c r="J277" s="18" t="s">
        <v>435</v>
      </c>
      <c r="K277" s="27">
        <f t="shared" si="13"/>
        <v>49</v>
      </c>
      <c r="L277" s="28">
        <f t="shared" si="14"/>
        <v>2564</v>
      </c>
    </row>
    <row r="278" spans="2:12">
      <c r="B278" s="13" t="s">
        <v>296</v>
      </c>
      <c r="C278" s="16" t="s">
        <v>14</v>
      </c>
      <c r="D278" s="15">
        <v>43929</v>
      </c>
      <c r="E278" s="16" t="s">
        <v>451</v>
      </c>
      <c r="F278" s="26">
        <v>847</v>
      </c>
      <c r="G278" s="17" t="s">
        <v>11</v>
      </c>
      <c r="H278" s="26">
        <v>25</v>
      </c>
      <c r="I278" s="26">
        <f t="shared" si="12"/>
        <v>44</v>
      </c>
      <c r="J278" s="18" t="s">
        <v>13</v>
      </c>
      <c r="K278" s="27">
        <f t="shared" si="13"/>
        <v>0</v>
      </c>
      <c r="L278" s="28">
        <f t="shared" si="14"/>
        <v>891</v>
      </c>
    </row>
    <row r="279" spans="2:12">
      <c r="B279" s="13" t="s">
        <v>297</v>
      </c>
      <c r="C279" s="14" t="s">
        <v>20</v>
      </c>
      <c r="D279" s="15">
        <v>43930</v>
      </c>
      <c r="E279" s="16" t="s">
        <v>452</v>
      </c>
      <c r="F279" s="26">
        <v>4042</v>
      </c>
      <c r="G279" s="17" t="s">
        <v>11</v>
      </c>
      <c r="H279" s="26">
        <v>121</v>
      </c>
      <c r="I279" s="26">
        <f t="shared" si="12"/>
        <v>208</v>
      </c>
      <c r="J279" s="18" t="s">
        <v>13</v>
      </c>
      <c r="K279" s="27">
        <f t="shared" si="13"/>
        <v>101</v>
      </c>
      <c r="L279" s="28">
        <f t="shared" si="14"/>
        <v>4250</v>
      </c>
    </row>
    <row r="280" spans="2:12">
      <c r="B280" s="13" t="s">
        <v>298</v>
      </c>
      <c r="C280" s="14" t="s">
        <v>17</v>
      </c>
      <c r="D280" s="15">
        <v>43932</v>
      </c>
      <c r="E280" s="16" t="s">
        <v>453</v>
      </c>
      <c r="F280" s="26">
        <v>5625</v>
      </c>
      <c r="G280" s="17" t="s">
        <v>396</v>
      </c>
      <c r="H280" s="26">
        <v>0</v>
      </c>
      <c r="I280" s="26">
        <f t="shared" si="12"/>
        <v>281</v>
      </c>
      <c r="J280" s="18" t="s">
        <v>439</v>
      </c>
      <c r="K280" s="27">
        <f t="shared" si="13"/>
        <v>141</v>
      </c>
      <c r="L280" s="28">
        <f t="shared" si="14"/>
        <v>5906</v>
      </c>
    </row>
    <row r="281" spans="2:12">
      <c r="B281" s="13" t="s">
        <v>299</v>
      </c>
      <c r="C281" s="14" t="s">
        <v>17</v>
      </c>
      <c r="D281" s="15">
        <v>43937</v>
      </c>
      <c r="E281" s="16" t="s">
        <v>451</v>
      </c>
      <c r="F281" s="26">
        <v>9272</v>
      </c>
      <c r="G281" s="17" t="s">
        <v>11</v>
      </c>
      <c r="H281" s="26">
        <v>0</v>
      </c>
      <c r="I281" s="26">
        <f t="shared" si="12"/>
        <v>464</v>
      </c>
      <c r="J281" s="18" t="s">
        <v>439</v>
      </c>
      <c r="K281" s="27">
        <f t="shared" si="13"/>
        <v>325</v>
      </c>
      <c r="L281" s="28">
        <f t="shared" si="14"/>
        <v>9736</v>
      </c>
    </row>
    <row r="282" spans="2:12">
      <c r="B282" s="13" t="s">
        <v>300</v>
      </c>
      <c r="C282" s="14" t="s">
        <v>19</v>
      </c>
      <c r="D282" s="15">
        <v>43938</v>
      </c>
      <c r="E282" s="16" t="s">
        <v>18</v>
      </c>
      <c r="F282" s="26">
        <v>8737</v>
      </c>
      <c r="G282" s="17" t="s">
        <v>399</v>
      </c>
      <c r="H282" s="26">
        <v>0</v>
      </c>
      <c r="I282" s="26">
        <f t="shared" si="12"/>
        <v>437</v>
      </c>
      <c r="J282" s="18" t="s">
        <v>439</v>
      </c>
      <c r="K282" s="27">
        <f t="shared" si="13"/>
        <v>306</v>
      </c>
      <c r="L282" s="28">
        <f t="shared" si="14"/>
        <v>9174</v>
      </c>
    </row>
    <row r="283" spans="2:12">
      <c r="B283" s="13" t="s">
        <v>301</v>
      </c>
      <c r="C283" s="14" t="s">
        <v>17</v>
      </c>
      <c r="D283" s="15">
        <v>43938</v>
      </c>
      <c r="E283" s="16" t="s">
        <v>451</v>
      </c>
      <c r="F283" s="26">
        <v>7220</v>
      </c>
      <c r="G283" s="17" t="s">
        <v>397</v>
      </c>
      <c r="H283" s="26">
        <v>0</v>
      </c>
      <c r="I283" s="26">
        <f t="shared" si="12"/>
        <v>361</v>
      </c>
      <c r="J283" s="18" t="s">
        <v>434</v>
      </c>
      <c r="K283" s="27">
        <f t="shared" si="13"/>
        <v>217</v>
      </c>
      <c r="L283" s="28">
        <f t="shared" si="14"/>
        <v>7581</v>
      </c>
    </row>
    <row r="284" spans="2:12">
      <c r="B284" s="13" t="s">
        <v>302</v>
      </c>
      <c r="C284" s="14" t="s">
        <v>15</v>
      </c>
      <c r="D284" s="15">
        <v>43940</v>
      </c>
      <c r="E284" s="16" t="s">
        <v>10</v>
      </c>
      <c r="F284" s="26">
        <v>2785</v>
      </c>
      <c r="G284" s="17" t="s">
        <v>12</v>
      </c>
      <c r="H284" s="26">
        <v>83</v>
      </c>
      <c r="I284" s="26">
        <f t="shared" si="12"/>
        <v>143</v>
      </c>
      <c r="J284" s="18" t="s">
        <v>13</v>
      </c>
      <c r="K284" s="27">
        <f t="shared" si="13"/>
        <v>56</v>
      </c>
      <c r="L284" s="28">
        <f t="shared" si="14"/>
        <v>2928</v>
      </c>
    </row>
    <row r="285" spans="2:12">
      <c r="B285" s="13" t="s">
        <v>303</v>
      </c>
      <c r="C285" s="14" t="s">
        <v>15</v>
      </c>
      <c r="D285" s="15">
        <v>43941</v>
      </c>
      <c r="E285" s="16" t="s">
        <v>10</v>
      </c>
      <c r="F285" s="26">
        <v>1017</v>
      </c>
      <c r="G285" s="17" t="s">
        <v>11</v>
      </c>
      <c r="H285" s="26">
        <v>18</v>
      </c>
      <c r="I285" s="26">
        <f t="shared" si="12"/>
        <v>52</v>
      </c>
      <c r="J285" s="18" t="s">
        <v>435</v>
      </c>
      <c r="K285" s="27">
        <f t="shared" si="13"/>
        <v>10</v>
      </c>
      <c r="L285" s="28">
        <f t="shared" si="14"/>
        <v>1069</v>
      </c>
    </row>
    <row r="286" spans="2:12">
      <c r="B286" s="13" t="s">
        <v>304</v>
      </c>
      <c r="C286" s="14" t="s">
        <v>19</v>
      </c>
      <c r="D286" s="15">
        <v>43945</v>
      </c>
      <c r="E286" s="16" t="s">
        <v>451</v>
      </c>
      <c r="F286" s="26">
        <v>4861</v>
      </c>
      <c r="G286" s="17" t="s">
        <v>399</v>
      </c>
      <c r="H286" s="26">
        <v>0</v>
      </c>
      <c r="I286" s="26">
        <f t="shared" si="12"/>
        <v>243</v>
      </c>
      <c r="J286" s="18" t="s">
        <v>434</v>
      </c>
      <c r="K286" s="27">
        <f t="shared" si="13"/>
        <v>122</v>
      </c>
      <c r="L286" s="28">
        <f t="shared" si="14"/>
        <v>5104</v>
      </c>
    </row>
    <row r="287" spans="2:12">
      <c r="B287" s="13" t="s">
        <v>305</v>
      </c>
      <c r="C287" s="14" t="s">
        <v>9</v>
      </c>
      <c r="D287" s="15">
        <v>43952</v>
      </c>
      <c r="E287" s="16" t="s">
        <v>450</v>
      </c>
      <c r="F287" s="26">
        <v>3431</v>
      </c>
      <c r="G287" s="17" t="s">
        <v>397</v>
      </c>
      <c r="H287" s="26">
        <v>0</v>
      </c>
      <c r="I287" s="26">
        <f t="shared" si="12"/>
        <v>172</v>
      </c>
      <c r="J287" s="18" t="s">
        <v>439</v>
      </c>
      <c r="K287" s="27">
        <f t="shared" si="13"/>
        <v>69</v>
      </c>
      <c r="L287" s="28">
        <f t="shared" si="14"/>
        <v>3603</v>
      </c>
    </row>
    <row r="288" spans="2:12">
      <c r="B288" s="13" t="s">
        <v>306</v>
      </c>
      <c r="C288" s="14" t="s">
        <v>15</v>
      </c>
      <c r="D288" s="15">
        <v>43953</v>
      </c>
      <c r="E288" s="16" t="s">
        <v>450</v>
      </c>
      <c r="F288" s="26">
        <v>8842</v>
      </c>
      <c r="G288" s="17" t="s">
        <v>399</v>
      </c>
      <c r="H288" s="26">
        <v>0</v>
      </c>
      <c r="I288" s="26">
        <f t="shared" si="12"/>
        <v>442</v>
      </c>
      <c r="J288" s="18" t="s">
        <v>434</v>
      </c>
      <c r="K288" s="27">
        <f t="shared" si="13"/>
        <v>309</v>
      </c>
      <c r="L288" s="28">
        <f t="shared" si="14"/>
        <v>9284</v>
      </c>
    </row>
    <row r="289" spans="2:12">
      <c r="B289" s="13" t="s">
        <v>307</v>
      </c>
      <c r="C289" s="14" t="s">
        <v>17</v>
      </c>
      <c r="D289" s="15">
        <v>43953</v>
      </c>
      <c r="E289" s="16" t="s">
        <v>10</v>
      </c>
      <c r="F289" s="26">
        <v>2394</v>
      </c>
      <c r="G289" s="17" t="s">
        <v>12</v>
      </c>
      <c r="H289" s="26">
        <v>71</v>
      </c>
      <c r="I289" s="26">
        <f t="shared" si="12"/>
        <v>123</v>
      </c>
      <c r="J289" s="18" t="s">
        <v>13</v>
      </c>
      <c r="K289" s="27">
        <f t="shared" si="13"/>
        <v>48</v>
      </c>
      <c r="L289" s="28">
        <f t="shared" si="14"/>
        <v>2517</v>
      </c>
    </row>
    <row r="290" spans="2:12">
      <c r="B290" s="13" t="s">
        <v>308</v>
      </c>
      <c r="C290" s="14" t="s">
        <v>9</v>
      </c>
      <c r="D290" s="15">
        <v>43955</v>
      </c>
      <c r="E290" s="16" t="s">
        <v>451</v>
      </c>
      <c r="F290" s="26">
        <v>5223</v>
      </c>
      <c r="G290" s="17" t="s">
        <v>12</v>
      </c>
      <c r="H290" s="26">
        <v>0</v>
      </c>
      <c r="I290" s="26">
        <f t="shared" si="12"/>
        <v>261</v>
      </c>
      <c r="J290" s="18" t="s">
        <v>434</v>
      </c>
      <c r="K290" s="27">
        <f t="shared" si="13"/>
        <v>131</v>
      </c>
      <c r="L290" s="28">
        <f t="shared" si="14"/>
        <v>5484</v>
      </c>
    </row>
    <row r="291" spans="2:12">
      <c r="B291" s="13" t="s">
        <v>309</v>
      </c>
      <c r="C291" s="14" t="s">
        <v>16</v>
      </c>
      <c r="D291" s="15">
        <v>43959</v>
      </c>
      <c r="E291" s="16" t="s">
        <v>452</v>
      </c>
      <c r="F291" s="26">
        <v>4302</v>
      </c>
      <c r="G291" s="17" t="s">
        <v>399</v>
      </c>
      <c r="H291" s="26">
        <v>0</v>
      </c>
      <c r="I291" s="26">
        <f t="shared" si="12"/>
        <v>215</v>
      </c>
      <c r="J291" s="18" t="s">
        <v>434</v>
      </c>
      <c r="K291" s="27">
        <f t="shared" si="13"/>
        <v>108</v>
      </c>
      <c r="L291" s="28">
        <f t="shared" si="14"/>
        <v>4517</v>
      </c>
    </row>
    <row r="292" spans="2:12">
      <c r="B292" s="13" t="s">
        <v>310</v>
      </c>
      <c r="C292" s="14" t="s">
        <v>15</v>
      </c>
      <c r="D292" s="15">
        <v>43964</v>
      </c>
      <c r="E292" s="16" t="s">
        <v>450</v>
      </c>
      <c r="F292" s="26">
        <v>8494</v>
      </c>
      <c r="G292" s="17" t="s">
        <v>12</v>
      </c>
      <c r="H292" s="26">
        <v>152</v>
      </c>
      <c r="I292" s="26">
        <f t="shared" si="12"/>
        <v>432</v>
      </c>
      <c r="J292" s="18" t="s">
        <v>435</v>
      </c>
      <c r="K292" s="27">
        <f t="shared" si="13"/>
        <v>297</v>
      </c>
      <c r="L292" s="28">
        <f t="shared" si="14"/>
        <v>8926</v>
      </c>
    </row>
    <row r="293" spans="2:12">
      <c r="B293" s="13" t="s">
        <v>311</v>
      </c>
      <c r="C293" s="14" t="s">
        <v>17</v>
      </c>
      <c r="D293" s="15">
        <v>43966</v>
      </c>
      <c r="E293" s="16" t="s">
        <v>18</v>
      </c>
      <c r="F293" s="26">
        <v>1112</v>
      </c>
      <c r="G293" s="17" t="s">
        <v>399</v>
      </c>
      <c r="H293" s="26">
        <v>22</v>
      </c>
      <c r="I293" s="26">
        <f t="shared" si="12"/>
        <v>57</v>
      </c>
      <c r="J293" s="18" t="s">
        <v>439</v>
      </c>
      <c r="K293" s="27">
        <f t="shared" si="13"/>
        <v>11</v>
      </c>
      <c r="L293" s="28">
        <f t="shared" si="14"/>
        <v>1169</v>
      </c>
    </row>
    <row r="294" spans="2:12">
      <c r="B294" s="13" t="s">
        <v>312</v>
      </c>
      <c r="C294" s="19" t="s">
        <v>20</v>
      </c>
      <c r="D294" s="15">
        <v>43968</v>
      </c>
      <c r="E294" s="16" t="s">
        <v>452</v>
      </c>
      <c r="F294" s="26">
        <v>8433</v>
      </c>
      <c r="G294" s="17" t="s">
        <v>11</v>
      </c>
      <c r="H294" s="26">
        <v>252</v>
      </c>
      <c r="I294" s="26">
        <f t="shared" si="12"/>
        <v>434</v>
      </c>
      <c r="J294" s="18" t="s">
        <v>13</v>
      </c>
      <c r="K294" s="27">
        <f t="shared" si="13"/>
        <v>295</v>
      </c>
      <c r="L294" s="28">
        <f t="shared" si="14"/>
        <v>8867</v>
      </c>
    </row>
    <row r="295" spans="2:12">
      <c r="B295" s="13" t="s">
        <v>313</v>
      </c>
      <c r="C295" s="16" t="s">
        <v>14</v>
      </c>
      <c r="D295" s="15">
        <v>43971</v>
      </c>
      <c r="E295" s="16" t="s">
        <v>450</v>
      </c>
      <c r="F295" s="26">
        <v>5574</v>
      </c>
      <c r="G295" s="17" t="s">
        <v>396</v>
      </c>
      <c r="H295" s="26">
        <v>167</v>
      </c>
      <c r="I295" s="26">
        <f t="shared" si="12"/>
        <v>287</v>
      </c>
      <c r="J295" s="18" t="s">
        <v>13</v>
      </c>
      <c r="K295" s="27">
        <f t="shared" si="13"/>
        <v>139</v>
      </c>
      <c r="L295" s="28">
        <f t="shared" si="14"/>
        <v>5861</v>
      </c>
    </row>
    <row r="296" spans="2:12">
      <c r="B296" s="13" t="s">
        <v>314</v>
      </c>
      <c r="C296" s="19" t="s">
        <v>20</v>
      </c>
      <c r="D296" s="15">
        <v>43974</v>
      </c>
      <c r="E296" s="16" t="s">
        <v>10</v>
      </c>
      <c r="F296" s="26">
        <v>5562</v>
      </c>
      <c r="G296" s="17" t="s">
        <v>12</v>
      </c>
      <c r="H296" s="26">
        <v>0</v>
      </c>
      <c r="I296" s="26">
        <f t="shared" si="12"/>
        <v>278</v>
      </c>
      <c r="J296" s="18" t="s">
        <v>434</v>
      </c>
      <c r="K296" s="27">
        <f t="shared" si="13"/>
        <v>139</v>
      </c>
      <c r="L296" s="28">
        <f t="shared" si="14"/>
        <v>5840</v>
      </c>
    </row>
    <row r="297" spans="2:12">
      <c r="B297" s="13" t="s">
        <v>315</v>
      </c>
      <c r="C297" s="14" t="s">
        <v>19</v>
      </c>
      <c r="D297" s="15">
        <v>43979</v>
      </c>
      <c r="E297" s="16" t="s">
        <v>18</v>
      </c>
      <c r="F297" s="26">
        <v>6749</v>
      </c>
      <c r="G297" s="17" t="s">
        <v>399</v>
      </c>
      <c r="H297" s="26">
        <v>121</v>
      </c>
      <c r="I297" s="26">
        <f t="shared" si="12"/>
        <v>344</v>
      </c>
      <c r="J297" s="18" t="s">
        <v>435</v>
      </c>
      <c r="K297" s="27">
        <f t="shared" si="13"/>
        <v>202</v>
      </c>
      <c r="L297" s="28">
        <f t="shared" si="14"/>
        <v>7093</v>
      </c>
    </row>
    <row r="298" spans="2:12">
      <c r="B298" s="13" t="s">
        <v>316</v>
      </c>
      <c r="C298" s="14" t="s">
        <v>19</v>
      </c>
      <c r="D298" s="15">
        <v>43985</v>
      </c>
      <c r="E298" s="16" t="s">
        <v>10</v>
      </c>
      <c r="F298" s="26">
        <v>2510</v>
      </c>
      <c r="G298" s="17" t="s">
        <v>399</v>
      </c>
      <c r="H298" s="26">
        <v>75</v>
      </c>
      <c r="I298" s="26">
        <f t="shared" si="12"/>
        <v>129</v>
      </c>
      <c r="J298" s="18" t="s">
        <v>13</v>
      </c>
      <c r="K298" s="27">
        <f t="shared" si="13"/>
        <v>50</v>
      </c>
      <c r="L298" s="28">
        <f t="shared" si="14"/>
        <v>2639</v>
      </c>
    </row>
    <row r="299" spans="2:12">
      <c r="B299" s="13" t="s">
        <v>317</v>
      </c>
      <c r="C299" s="14" t="s">
        <v>20</v>
      </c>
      <c r="D299" s="15">
        <v>43987</v>
      </c>
      <c r="E299" s="16" t="s">
        <v>452</v>
      </c>
      <c r="F299" s="26">
        <v>3848</v>
      </c>
      <c r="G299" s="17" t="s">
        <v>11</v>
      </c>
      <c r="H299" s="26">
        <v>0</v>
      </c>
      <c r="I299" s="26">
        <f t="shared" si="12"/>
        <v>192</v>
      </c>
      <c r="J299" s="18" t="s">
        <v>439</v>
      </c>
      <c r="K299" s="27">
        <f t="shared" si="13"/>
        <v>96</v>
      </c>
      <c r="L299" s="28">
        <f t="shared" si="14"/>
        <v>4040</v>
      </c>
    </row>
    <row r="300" spans="2:12">
      <c r="B300" s="13" t="s">
        <v>318</v>
      </c>
      <c r="C300" s="14" t="s">
        <v>16</v>
      </c>
      <c r="D300" s="15">
        <v>43989</v>
      </c>
      <c r="E300" s="16" t="s">
        <v>450</v>
      </c>
      <c r="F300" s="26">
        <v>7514</v>
      </c>
      <c r="G300" s="17" t="s">
        <v>11</v>
      </c>
      <c r="H300" s="26">
        <v>135</v>
      </c>
      <c r="I300" s="26">
        <f t="shared" si="12"/>
        <v>382</v>
      </c>
      <c r="J300" s="18" t="s">
        <v>435</v>
      </c>
      <c r="K300" s="27">
        <f t="shared" si="13"/>
        <v>225</v>
      </c>
      <c r="L300" s="28">
        <f t="shared" si="14"/>
        <v>7896</v>
      </c>
    </row>
    <row r="301" spans="2:12">
      <c r="B301" s="13" t="s">
        <v>319</v>
      </c>
      <c r="C301" s="14" t="s">
        <v>15</v>
      </c>
      <c r="D301" s="15">
        <v>43989</v>
      </c>
      <c r="E301" s="16" t="s">
        <v>10</v>
      </c>
      <c r="F301" s="26">
        <v>2082</v>
      </c>
      <c r="G301" s="17" t="s">
        <v>399</v>
      </c>
      <c r="H301" s="26">
        <v>41</v>
      </c>
      <c r="I301" s="26">
        <f t="shared" si="12"/>
        <v>106</v>
      </c>
      <c r="J301" s="18" t="s">
        <v>439</v>
      </c>
      <c r="K301" s="27">
        <f t="shared" si="13"/>
        <v>42</v>
      </c>
      <c r="L301" s="28">
        <f t="shared" si="14"/>
        <v>2188</v>
      </c>
    </row>
    <row r="302" spans="2:12">
      <c r="B302" s="13" t="s">
        <v>320</v>
      </c>
      <c r="C302" s="14" t="s">
        <v>9</v>
      </c>
      <c r="D302" s="15">
        <v>43991</v>
      </c>
      <c r="E302" s="16" t="s">
        <v>452</v>
      </c>
      <c r="F302" s="26">
        <v>5067</v>
      </c>
      <c r="G302" s="17" t="s">
        <v>12</v>
      </c>
      <c r="H302" s="26">
        <v>0</v>
      </c>
      <c r="I302" s="26">
        <f t="shared" si="12"/>
        <v>253</v>
      </c>
      <c r="J302" s="18" t="s">
        <v>439</v>
      </c>
      <c r="K302" s="27">
        <f t="shared" si="13"/>
        <v>127</v>
      </c>
      <c r="L302" s="28">
        <f t="shared" si="14"/>
        <v>5320</v>
      </c>
    </row>
    <row r="303" spans="2:12">
      <c r="B303" s="13" t="s">
        <v>321</v>
      </c>
      <c r="C303" s="14" t="s">
        <v>9</v>
      </c>
      <c r="D303" s="15">
        <v>43993</v>
      </c>
      <c r="E303" s="16" t="s">
        <v>450</v>
      </c>
      <c r="F303" s="26">
        <v>8062</v>
      </c>
      <c r="G303" s="17" t="s">
        <v>399</v>
      </c>
      <c r="H303" s="26">
        <v>241</v>
      </c>
      <c r="I303" s="26">
        <f t="shared" si="12"/>
        <v>415</v>
      </c>
      <c r="J303" s="18" t="s">
        <v>13</v>
      </c>
      <c r="K303" s="27">
        <f t="shared" si="13"/>
        <v>282</v>
      </c>
      <c r="L303" s="28">
        <f t="shared" si="14"/>
        <v>8477</v>
      </c>
    </row>
    <row r="304" spans="2:12">
      <c r="B304" s="13" t="s">
        <v>322</v>
      </c>
      <c r="C304" s="14" t="s">
        <v>9</v>
      </c>
      <c r="D304" s="15">
        <v>43995</v>
      </c>
      <c r="E304" s="16" t="s">
        <v>452</v>
      </c>
      <c r="F304" s="26">
        <v>1784</v>
      </c>
      <c r="G304" s="17" t="s">
        <v>12</v>
      </c>
      <c r="H304" s="26">
        <v>53</v>
      </c>
      <c r="I304" s="26">
        <f t="shared" si="12"/>
        <v>92</v>
      </c>
      <c r="J304" s="18" t="s">
        <v>13</v>
      </c>
      <c r="K304" s="27">
        <f t="shared" si="13"/>
        <v>27</v>
      </c>
      <c r="L304" s="28">
        <f t="shared" si="14"/>
        <v>1876</v>
      </c>
    </row>
    <row r="305" spans="2:12">
      <c r="B305" s="13" t="s">
        <v>323</v>
      </c>
      <c r="C305" s="14" t="s">
        <v>19</v>
      </c>
      <c r="D305" s="15">
        <v>43997</v>
      </c>
      <c r="E305" s="16" t="s">
        <v>452</v>
      </c>
      <c r="F305" s="26">
        <v>152</v>
      </c>
      <c r="G305" s="17" t="s">
        <v>397</v>
      </c>
      <c r="H305" s="26">
        <v>3</v>
      </c>
      <c r="I305" s="26">
        <f t="shared" si="12"/>
        <v>8</v>
      </c>
      <c r="J305" s="18" t="s">
        <v>439</v>
      </c>
      <c r="K305" s="27">
        <f t="shared" si="13"/>
        <v>0</v>
      </c>
      <c r="L305" s="28">
        <f t="shared" si="14"/>
        <v>160</v>
      </c>
    </row>
    <row r="306" spans="2:12">
      <c r="B306" s="13" t="s">
        <v>324</v>
      </c>
      <c r="C306" s="14" t="s">
        <v>15</v>
      </c>
      <c r="D306" s="15">
        <v>43999</v>
      </c>
      <c r="E306" s="16" t="s">
        <v>452</v>
      </c>
      <c r="F306" s="26">
        <v>1599</v>
      </c>
      <c r="G306" s="17" t="s">
        <v>397</v>
      </c>
      <c r="H306" s="26">
        <v>0</v>
      </c>
      <c r="I306" s="26">
        <f t="shared" si="12"/>
        <v>80</v>
      </c>
      <c r="J306" s="18" t="s">
        <v>434</v>
      </c>
      <c r="K306" s="27">
        <f t="shared" si="13"/>
        <v>24</v>
      </c>
      <c r="L306" s="28">
        <f t="shared" si="14"/>
        <v>1679</v>
      </c>
    </row>
    <row r="307" spans="2:12">
      <c r="B307" s="13" t="s">
        <v>325</v>
      </c>
      <c r="C307" s="14" t="s">
        <v>9</v>
      </c>
      <c r="D307" s="15">
        <v>44005</v>
      </c>
      <c r="E307" s="16" t="s">
        <v>18</v>
      </c>
      <c r="F307" s="26">
        <v>79</v>
      </c>
      <c r="G307" s="17" t="s">
        <v>396</v>
      </c>
      <c r="H307" s="26">
        <v>0</v>
      </c>
      <c r="I307" s="26">
        <f t="shared" si="12"/>
        <v>4</v>
      </c>
      <c r="J307" s="18" t="s">
        <v>434</v>
      </c>
      <c r="K307" s="27">
        <f t="shared" si="13"/>
        <v>0</v>
      </c>
      <c r="L307" s="28">
        <f t="shared" si="14"/>
        <v>83</v>
      </c>
    </row>
    <row r="308" spans="2:12">
      <c r="B308" s="13" t="s">
        <v>326</v>
      </c>
      <c r="C308" s="14" t="s">
        <v>16</v>
      </c>
      <c r="D308" s="15">
        <v>44011</v>
      </c>
      <c r="E308" s="16" t="s">
        <v>453</v>
      </c>
      <c r="F308" s="26">
        <v>674</v>
      </c>
      <c r="G308" s="17" t="s">
        <v>397</v>
      </c>
      <c r="H308" s="26">
        <v>13</v>
      </c>
      <c r="I308" s="26">
        <f t="shared" si="12"/>
        <v>34</v>
      </c>
      <c r="J308" s="18" t="s">
        <v>439</v>
      </c>
      <c r="K308" s="27">
        <f t="shared" si="13"/>
        <v>0</v>
      </c>
      <c r="L308" s="28">
        <f t="shared" si="14"/>
        <v>708</v>
      </c>
    </row>
    <row r="309" spans="2:12">
      <c r="B309" s="13" t="s">
        <v>327</v>
      </c>
      <c r="C309" s="16" t="s">
        <v>14</v>
      </c>
      <c r="D309" s="15">
        <v>44016</v>
      </c>
      <c r="E309" s="16" t="s">
        <v>451</v>
      </c>
      <c r="F309" s="26">
        <v>8139</v>
      </c>
      <c r="G309" s="17" t="s">
        <v>397</v>
      </c>
      <c r="H309" s="26">
        <v>0</v>
      </c>
      <c r="I309" s="26">
        <f t="shared" si="12"/>
        <v>407</v>
      </c>
      <c r="J309" s="18" t="s">
        <v>439</v>
      </c>
      <c r="K309" s="27">
        <f t="shared" si="13"/>
        <v>285</v>
      </c>
      <c r="L309" s="28">
        <f t="shared" si="14"/>
        <v>8546</v>
      </c>
    </row>
    <row r="310" spans="2:12">
      <c r="B310" s="13" t="s">
        <v>328</v>
      </c>
      <c r="C310" s="14" t="s">
        <v>15</v>
      </c>
      <c r="D310" s="15">
        <v>44018</v>
      </c>
      <c r="E310" s="16" t="s">
        <v>453</v>
      </c>
      <c r="F310" s="26">
        <v>7611</v>
      </c>
      <c r="G310" s="17" t="s">
        <v>11</v>
      </c>
      <c r="H310" s="26">
        <v>0</v>
      </c>
      <c r="I310" s="26">
        <f t="shared" si="12"/>
        <v>381</v>
      </c>
      <c r="J310" s="18" t="s">
        <v>434</v>
      </c>
      <c r="K310" s="27">
        <f t="shared" si="13"/>
        <v>228</v>
      </c>
      <c r="L310" s="28">
        <f t="shared" si="14"/>
        <v>7992</v>
      </c>
    </row>
    <row r="311" spans="2:12">
      <c r="B311" s="13" t="s">
        <v>329</v>
      </c>
      <c r="C311" s="19" t="s">
        <v>20</v>
      </c>
      <c r="D311" s="15">
        <v>44018</v>
      </c>
      <c r="E311" s="16" t="s">
        <v>452</v>
      </c>
      <c r="F311" s="26">
        <v>3455</v>
      </c>
      <c r="G311" s="17" t="s">
        <v>11</v>
      </c>
      <c r="H311" s="26">
        <v>0</v>
      </c>
      <c r="I311" s="26">
        <f t="shared" si="12"/>
        <v>173</v>
      </c>
      <c r="J311" s="18" t="s">
        <v>439</v>
      </c>
      <c r="K311" s="27">
        <f t="shared" si="13"/>
        <v>69</v>
      </c>
      <c r="L311" s="28">
        <f t="shared" si="14"/>
        <v>3628</v>
      </c>
    </row>
    <row r="312" spans="2:12">
      <c r="B312" s="13" t="s">
        <v>330</v>
      </c>
      <c r="C312" s="19" t="s">
        <v>20</v>
      </c>
      <c r="D312" s="15">
        <v>44021</v>
      </c>
      <c r="E312" s="16" t="s">
        <v>450</v>
      </c>
      <c r="F312" s="26">
        <v>1543</v>
      </c>
      <c r="G312" s="17" t="s">
        <v>12</v>
      </c>
      <c r="H312" s="26">
        <v>0</v>
      </c>
      <c r="I312" s="26">
        <f t="shared" si="12"/>
        <v>77</v>
      </c>
      <c r="J312" s="18" t="s">
        <v>434</v>
      </c>
      <c r="K312" s="27">
        <f t="shared" si="13"/>
        <v>23</v>
      </c>
      <c r="L312" s="28">
        <f t="shared" si="14"/>
        <v>1620</v>
      </c>
    </row>
    <row r="313" spans="2:12">
      <c r="B313" s="13" t="s">
        <v>331</v>
      </c>
      <c r="C313" s="19" t="s">
        <v>20</v>
      </c>
      <c r="D313" s="15">
        <v>44023</v>
      </c>
      <c r="E313" s="16" t="s">
        <v>450</v>
      </c>
      <c r="F313" s="26">
        <v>6698</v>
      </c>
      <c r="G313" s="17" t="s">
        <v>12</v>
      </c>
      <c r="H313" s="26">
        <v>120</v>
      </c>
      <c r="I313" s="26">
        <f t="shared" si="12"/>
        <v>341</v>
      </c>
      <c r="J313" s="18" t="s">
        <v>435</v>
      </c>
      <c r="K313" s="27">
        <f t="shared" si="13"/>
        <v>201</v>
      </c>
      <c r="L313" s="28">
        <f t="shared" si="14"/>
        <v>7039</v>
      </c>
    </row>
    <row r="314" spans="2:12">
      <c r="B314" s="13" t="s">
        <v>332</v>
      </c>
      <c r="C314" s="14" t="s">
        <v>9</v>
      </c>
      <c r="D314" s="15">
        <v>44024</v>
      </c>
      <c r="E314" s="16" t="s">
        <v>10</v>
      </c>
      <c r="F314" s="26">
        <v>3126</v>
      </c>
      <c r="G314" s="17" t="s">
        <v>399</v>
      </c>
      <c r="H314" s="26">
        <v>56</v>
      </c>
      <c r="I314" s="26">
        <f t="shared" si="12"/>
        <v>159</v>
      </c>
      <c r="J314" s="18" t="s">
        <v>435</v>
      </c>
      <c r="K314" s="27">
        <f t="shared" si="13"/>
        <v>63</v>
      </c>
      <c r="L314" s="28">
        <f t="shared" si="14"/>
        <v>3285</v>
      </c>
    </row>
    <row r="315" spans="2:12">
      <c r="B315" s="13" t="s">
        <v>333</v>
      </c>
      <c r="C315" s="16" t="s">
        <v>14</v>
      </c>
      <c r="D315" s="15">
        <v>44027</v>
      </c>
      <c r="E315" s="16" t="s">
        <v>452</v>
      </c>
      <c r="F315" s="26">
        <v>277</v>
      </c>
      <c r="G315" s="17" t="s">
        <v>12</v>
      </c>
      <c r="H315" s="26">
        <v>5</v>
      </c>
      <c r="I315" s="26">
        <f t="shared" si="12"/>
        <v>14</v>
      </c>
      <c r="J315" s="18" t="s">
        <v>439</v>
      </c>
      <c r="K315" s="27">
        <f t="shared" si="13"/>
        <v>0</v>
      </c>
      <c r="L315" s="28">
        <f t="shared" si="14"/>
        <v>291</v>
      </c>
    </row>
    <row r="316" spans="2:12">
      <c r="B316" s="13" t="s">
        <v>334</v>
      </c>
      <c r="C316" s="14" t="s">
        <v>9</v>
      </c>
      <c r="D316" s="15">
        <v>44027</v>
      </c>
      <c r="E316" s="16" t="s">
        <v>453</v>
      </c>
      <c r="F316" s="26">
        <v>2040</v>
      </c>
      <c r="G316" s="17" t="s">
        <v>12</v>
      </c>
      <c r="H316" s="26">
        <v>36</v>
      </c>
      <c r="I316" s="26">
        <f t="shared" si="12"/>
        <v>104</v>
      </c>
      <c r="J316" s="18" t="s">
        <v>435</v>
      </c>
      <c r="K316" s="27">
        <f t="shared" si="13"/>
        <v>41</v>
      </c>
      <c r="L316" s="28">
        <f t="shared" si="14"/>
        <v>2144</v>
      </c>
    </row>
    <row r="317" spans="2:12">
      <c r="B317" s="13" t="s">
        <v>335</v>
      </c>
      <c r="C317" s="14" t="s">
        <v>19</v>
      </c>
      <c r="D317" s="15">
        <v>44029</v>
      </c>
      <c r="E317" s="16" t="s">
        <v>450</v>
      </c>
      <c r="F317" s="26">
        <v>1500</v>
      </c>
      <c r="G317" s="17" t="s">
        <v>11</v>
      </c>
      <c r="H317" s="26">
        <v>27</v>
      </c>
      <c r="I317" s="26">
        <f t="shared" si="12"/>
        <v>76</v>
      </c>
      <c r="J317" s="18" t="s">
        <v>435</v>
      </c>
      <c r="K317" s="27">
        <f t="shared" si="13"/>
        <v>23</v>
      </c>
      <c r="L317" s="28">
        <f t="shared" si="14"/>
        <v>1576</v>
      </c>
    </row>
    <row r="318" spans="2:12">
      <c r="B318" s="13" t="s">
        <v>336</v>
      </c>
      <c r="C318" s="14" t="s">
        <v>15</v>
      </c>
      <c r="D318" s="15">
        <v>44031</v>
      </c>
      <c r="E318" s="16" t="s">
        <v>450</v>
      </c>
      <c r="F318" s="26">
        <v>5458</v>
      </c>
      <c r="G318" s="17" t="s">
        <v>399</v>
      </c>
      <c r="H318" s="26">
        <v>0</v>
      </c>
      <c r="I318" s="26">
        <f t="shared" si="12"/>
        <v>273</v>
      </c>
      <c r="J318" s="18" t="s">
        <v>439</v>
      </c>
      <c r="K318" s="27">
        <f t="shared" si="13"/>
        <v>136</v>
      </c>
      <c r="L318" s="28">
        <f t="shared" si="14"/>
        <v>5731</v>
      </c>
    </row>
    <row r="319" spans="2:12">
      <c r="B319" s="13" t="s">
        <v>337</v>
      </c>
      <c r="C319" s="14" t="s">
        <v>19</v>
      </c>
      <c r="D319" s="15">
        <v>44031</v>
      </c>
      <c r="E319" s="16" t="s">
        <v>451</v>
      </c>
      <c r="F319" s="26">
        <v>1699</v>
      </c>
      <c r="G319" s="17" t="s">
        <v>11</v>
      </c>
      <c r="H319" s="26">
        <v>30</v>
      </c>
      <c r="I319" s="26">
        <f t="shared" si="12"/>
        <v>86</v>
      </c>
      <c r="J319" s="18" t="s">
        <v>435</v>
      </c>
      <c r="K319" s="27">
        <f t="shared" si="13"/>
        <v>25</v>
      </c>
      <c r="L319" s="28">
        <f t="shared" si="14"/>
        <v>1785</v>
      </c>
    </row>
    <row r="320" spans="2:12">
      <c r="B320" s="13" t="s">
        <v>338</v>
      </c>
      <c r="C320" s="19" t="s">
        <v>20</v>
      </c>
      <c r="D320" s="15">
        <v>44033</v>
      </c>
      <c r="E320" s="16" t="s">
        <v>450</v>
      </c>
      <c r="F320" s="26">
        <v>2581</v>
      </c>
      <c r="G320" s="17" t="s">
        <v>11</v>
      </c>
      <c r="H320" s="26">
        <v>51</v>
      </c>
      <c r="I320" s="26">
        <f t="shared" si="12"/>
        <v>132</v>
      </c>
      <c r="J320" s="18" t="s">
        <v>439</v>
      </c>
      <c r="K320" s="27">
        <f t="shared" si="13"/>
        <v>52</v>
      </c>
      <c r="L320" s="28">
        <f t="shared" si="14"/>
        <v>2713</v>
      </c>
    </row>
    <row r="321" spans="2:12">
      <c r="B321" s="13" t="s">
        <v>339</v>
      </c>
      <c r="C321" s="14" t="s">
        <v>17</v>
      </c>
      <c r="D321" s="15">
        <v>44034</v>
      </c>
      <c r="E321" s="16" t="s">
        <v>452</v>
      </c>
      <c r="F321" s="26">
        <v>5474</v>
      </c>
      <c r="G321" s="17" t="s">
        <v>11</v>
      </c>
      <c r="H321" s="26">
        <v>164</v>
      </c>
      <c r="I321" s="26">
        <f t="shared" si="12"/>
        <v>282</v>
      </c>
      <c r="J321" s="18" t="s">
        <v>13</v>
      </c>
      <c r="K321" s="27">
        <f t="shared" si="13"/>
        <v>137</v>
      </c>
      <c r="L321" s="28">
        <f t="shared" si="14"/>
        <v>5756</v>
      </c>
    </row>
    <row r="322" spans="2:12">
      <c r="B322" s="13" t="s">
        <v>340</v>
      </c>
      <c r="C322" s="14" t="s">
        <v>19</v>
      </c>
      <c r="D322" s="15">
        <v>44037</v>
      </c>
      <c r="E322" s="16" t="s">
        <v>450</v>
      </c>
      <c r="F322" s="26">
        <v>3457</v>
      </c>
      <c r="G322" s="17" t="s">
        <v>397</v>
      </c>
      <c r="H322" s="26">
        <v>0</v>
      </c>
      <c r="I322" s="26">
        <f t="shared" si="12"/>
        <v>173</v>
      </c>
      <c r="J322" s="18" t="s">
        <v>434</v>
      </c>
      <c r="K322" s="27">
        <f t="shared" si="13"/>
        <v>69</v>
      </c>
      <c r="L322" s="28">
        <f t="shared" si="14"/>
        <v>3630</v>
      </c>
    </row>
    <row r="323" spans="2:12">
      <c r="B323" s="13" t="s">
        <v>341</v>
      </c>
      <c r="C323" s="14" t="s">
        <v>19</v>
      </c>
      <c r="D323" s="15">
        <v>44042</v>
      </c>
      <c r="E323" s="16" t="s">
        <v>453</v>
      </c>
      <c r="F323" s="26">
        <v>6326</v>
      </c>
      <c r="G323" s="17" t="s">
        <v>399</v>
      </c>
      <c r="H323" s="26">
        <v>113</v>
      </c>
      <c r="I323" s="26">
        <f t="shared" ref="I323:I374" si="15">ROUND((F323+H323)*0.05,0)</f>
        <v>322</v>
      </c>
      <c r="J323" s="18" t="s">
        <v>435</v>
      </c>
      <c r="K323" s="27">
        <f t="shared" ref="K323:K374" si="16">ROUND(VLOOKUP(F323,獎金比例對照表,2,TRUE)*F323,0)</f>
        <v>190</v>
      </c>
      <c r="L323" s="28">
        <f t="shared" ref="L323:L374" si="17">F323+I323</f>
        <v>6648</v>
      </c>
    </row>
    <row r="324" spans="2:12">
      <c r="B324" s="13" t="s">
        <v>342</v>
      </c>
      <c r="C324" s="19" t="s">
        <v>20</v>
      </c>
      <c r="D324" s="15">
        <v>44043</v>
      </c>
      <c r="E324" s="16" t="s">
        <v>451</v>
      </c>
      <c r="F324" s="26">
        <v>2646</v>
      </c>
      <c r="G324" s="17" t="s">
        <v>11</v>
      </c>
      <c r="H324" s="26">
        <v>0</v>
      </c>
      <c r="I324" s="26">
        <f t="shared" si="15"/>
        <v>132</v>
      </c>
      <c r="J324" s="18" t="s">
        <v>434</v>
      </c>
      <c r="K324" s="27">
        <f t="shared" si="16"/>
        <v>53</v>
      </c>
      <c r="L324" s="28">
        <f t="shared" si="17"/>
        <v>2778</v>
      </c>
    </row>
    <row r="325" spans="2:12">
      <c r="B325" s="13" t="s">
        <v>343</v>
      </c>
      <c r="C325" s="14" t="s">
        <v>16</v>
      </c>
      <c r="D325" s="15">
        <v>44044</v>
      </c>
      <c r="E325" s="16" t="s">
        <v>452</v>
      </c>
      <c r="F325" s="26">
        <v>569</v>
      </c>
      <c r="G325" s="17" t="s">
        <v>397</v>
      </c>
      <c r="H325" s="26">
        <v>0</v>
      </c>
      <c r="I325" s="26">
        <f t="shared" si="15"/>
        <v>28</v>
      </c>
      <c r="J325" s="18" t="s">
        <v>434</v>
      </c>
      <c r="K325" s="27">
        <f t="shared" si="16"/>
        <v>0</v>
      </c>
      <c r="L325" s="28">
        <f t="shared" si="17"/>
        <v>597</v>
      </c>
    </row>
    <row r="326" spans="2:12">
      <c r="B326" s="13" t="s">
        <v>344</v>
      </c>
      <c r="C326" s="14" t="s">
        <v>17</v>
      </c>
      <c r="D326" s="15">
        <v>44051</v>
      </c>
      <c r="E326" s="16" t="s">
        <v>18</v>
      </c>
      <c r="F326" s="26">
        <v>496</v>
      </c>
      <c r="G326" s="17" t="s">
        <v>12</v>
      </c>
      <c r="H326" s="26">
        <v>0</v>
      </c>
      <c r="I326" s="26">
        <f t="shared" si="15"/>
        <v>25</v>
      </c>
      <c r="J326" s="18" t="s">
        <v>434</v>
      </c>
      <c r="K326" s="27">
        <f t="shared" si="16"/>
        <v>0</v>
      </c>
      <c r="L326" s="28">
        <f t="shared" si="17"/>
        <v>521</v>
      </c>
    </row>
    <row r="327" spans="2:12">
      <c r="B327" s="13" t="s">
        <v>345</v>
      </c>
      <c r="C327" s="19" t="s">
        <v>20</v>
      </c>
      <c r="D327" s="15">
        <v>44056</v>
      </c>
      <c r="E327" s="16" t="s">
        <v>450</v>
      </c>
      <c r="F327" s="26">
        <v>572</v>
      </c>
      <c r="G327" s="17" t="s">
        <v>11</v>
      </c>
      <c r="H327" s="26">
        <v>0</v>
      </c>
      <c r="I327" s="26">
        <f t="shared" si="15"/>
        <v>29</v>
      </c>
      <c r="J327" s="18" t="s">
        <v>434</v>
      </c>
      <c r="K327" s="27">
        <f t="shared" si="16"/>
        <v>0</v>
      </c>
      <c r="L327" s="28">
        <f t="shared" si="17"/>
        <v>601</v>
      </c>
    </row>
    <row r="328" spans="2:12">
      <c r="B328" s="13" t="s">
        <v>346</v>
      </c>
      <c r="C328" s="16" t="s">
        <v>14</v>
      </c>
      <c r="D328" s="15">
        <v>44056</v>
      </c>
      <c r="E328" s="16" t="s">
        <v>450</v>
      </c>
      <c r="F328" s="26">
        <v>6640</v>
      </c>
      <c r="G328" s="17" t="s">
        <v>12</v>
      </c>
      <c r="H328" s="26">
        <v>0</v>
      </c>
      <c r="I328" s="26">
        <f t="shared" si="15"/>
        <v>332</v>
      </c>
      <c r="J328" s="18" t="s">
        <v>439</v>
      </c>
      <c r="K328" s="27">
        <f t="shared" si="16"/>
        <v>199</v>
      </c>
      <c r="L328" s="28">
        <f t="shared" si="17"/>
        <v>6972</v>
      </c>
    </row>
    <row r="329" spans="2:12">
      <c r="B329" s="13" t="s">
        <v>347</v>
      </c>
      <c r="C329" s="14" t="s">
        <v>9</v>
      </c>
      <c r="D329" s="15">
        <v>44062</v>
      </c>
      <c r="E329" s="16" t="s">
        <v>453</v>
      </c>
      <c r="F329" s="26">
        <v>3253</v>
      </c>
      <c r="G329" s="17" t="s">
        <v>399</v>
      </c>
      <c r="H329" s="26">
        <v>97</v>
      </c>
      <c r="I329" s="26">
        <f t="shared" si="15"/>
        <v>168</v>
      </c>
      <c r="J329" s="18" t="s">
        <v>13</v>
      </c>
      <c r="K329" s="27">
        <f t="shared" si="16"/>
        <v>65</v>
      </c>
      <c r="L329" s="28">
        <f t="shared" si="17"/>
        <v>3421</v>
      </c>
    </row>
    <row r="330" spans="2:12">
      <c r="B330" s="13" t="s">
        <v>348</v>
      </c>
      <c r="C330" s="14" t="s">
        <v>19</v>
      </c>
      <c r="D330" s="15">
        <v>44063</v>
      </c>
      <c r="E330" s="16" t="s">
        <v>453</v>
      </c>
      <c r="F330" s="26">
        <v>5127</v>
      </c>
      <c r="G330" s="17" t="s">
        <v>11</v>
      </c>
      <c r="H330" s="26">
        <v>92</v>
      </c>
      <c r="I330" s="26">
        <f t="shared" si="15"/>
        <v>261</v>
      </c>
      <c r="J330" s="18" t="s">
        <v>435</v>
      </c>
      <c r="K330" s="27">
        <f t="shared" si="16"/>
        <v>128</v>
      </c>
      <c r="L330" s="28">
        <f t="shared" si="17"/>
        <v>5388</v>
      </c>
    </row>
    <row r="331" spans="2:12">
      <c r="B331" s="13" t="s">
        <v>349</v>
      </c>
      <c r="C331" s="19" t="s">
        <v>20</v>
      </c>
      <c r="D331" s="15">
        <v>44064</v>
      </c>
      <c r="E331" s="16" t="s">
        <v>451</v>
      </c>
      <c r="F331" s="26">
        <v>5174</v>
      </c>
      <c r="G331" s="17" t="s">
        <v>396</v>
      </c>
      <c r="H331" s="26">
        <v>0</v>
      </c>
      <c r="I331" s="26">
        <f t="shared" si="15"/>
        <v>259</v>
      </c>
      <c r="J331" s="18" t="s">
        <v>439</v>
      </c>
      <c r="K331" s="27">
        <f t="shared" si="16"/>
        <v>129</v>
      </c>
      <c r="L331" s="28">
        <f t="shared" si="17"/>
        <v>5433</v>
      </c>
    </row>
    <row r="332" spans="2:12">
      <c r="B332" s="13" t="s">
        <v>350</v>
      </c>
      <c r="C332" s="14" t="s">
        <v>16</v>
      </c>
      <c r="D332" s="15">
        <v>44075</v>
      </c>
      <c r="E332" s="16" t="s">
        <v>453</v>
      </c>
      <c r="F332" s="26">
        <v>8119</v>
      </c>
      <c r="G332" s="17" t="s">
        <v>12</v>
      </c>
      <c r="H332" s="26">
        <v>146</v>
      </c>
      <c r="I332" s="26">
        <f t="shared" si="15"/>
        <v>413</v>
      </c>
      <c r="J332" s="18" t="s">
        <v>435</v>
      </c>
      <c r="K332" s="27">
        <f t="shared" si="16"/>
        <v>284</v>
      </c>
      <c r="L332" s="28">
        <f t="shared" si="17"/>
        <v>8532</v>
      </c>
    </row>
    <row r="333" spans="2:12">
      <c r="B333" s="13" t="s">
        <v>351</v>
      </c>
      <c r="C333" s="14" t="s">
        <v>19</v>
      </c>
      <c r="D333" s="15">
        <v>44077</v>
      </c>
      <c r="E333" s="16" t="s">
        <v>453</v>
      </c>
      <c r="F333" s="26">
        <v>5429</v>
      </c>
      <c r="G333" s="17" t="s">
        <v>399</v>
      </c>
      <c r="H333" s="26">
        <v>0</v>
      </c>
      <c r="I333" s="26">
        <f t="shared" si="15"/>
        <v>271</v>
      </c>
      <c r="J333" s="18" t="s">
        <v>434</v>
      </c>
      <c r="K333" s="27">
        <f t="shared" si="16"/>
        <v>136</v>
      </c>
      <c r="L333" s="28">
        <f t="shared" si="17"/>
        <v>5700</v>
      </c>
    </row>
    <row r="334" spans="2:12">
      <c r="B334" s="13" t="s">
        <v>352</v>
      </c>
      <c r="C334" s="14" t="s">
        <v>17</v>
      </c>
      <c r="D334" s="15">
        <v>44082</v>
      </c>
      <c r="E334" s="16" t="s">
        <v>10</v>
      </c>
      <c r="F334" s="26">
        <v>1413</v>
      </c>
      <c r="G334" s="17" t="s">
        <v>11</v>
      </c>
      <c r="H334" s="26">
        <v>28</v>
      </c>
      <c r="I334" s="26">
        <f t="shared" si="15"/>
        <v>72</v>
      </c>
      <c r="J334" s="18" t="s">
        <v>439</v>
      </c>
      <c r="K334" s="27">
        <f t="shared" si="16"/>
        <v>14</v>
      </c>
      <c r="L334" s="28">
        <f t="shared" si="17"/>
        <v>1485</v>
      </c>
    </row>
    <row r="335" spans="2:12">
      <c r="B335" s="13" t="s">
        <v>353</v>
      </c>
      <c r="C335" s="14" t="s">
        <v>16</v>
      </c>
      <c r="D335" s="15">
        <v>44082</v>
      </c>
      <c r="E335" s="16" t="s">
        <v>10</v>
      </c>
      <c r="F335" s="26">
        <v>968</v>
      </c>
      <c r="G335" s="17" t="s">
        <v>12</v>
      </c>
      <c r="H335" s="26">
        <v>19</v>
      </c>
      <c r="I335" s="26">
        <f t="shared" si="15"/>
        <v>49</v>
      </c>
      <c r="J335" s="18" t="s">
        <v>439</v>
      </c>
      <c r="K335" s="27">
        <f t="shared" si="16"/>
        <v>0</v>
      </c>
      <c r="L335" s="28">
        <f t="shared" si="17"/>
        <v>1017</v>
      </c>
    </row>
    <row r="336" spans="2:12">
      <c r="B336" s="13" t="s">
        <v>354</v>
      </c>
      <c r="C336" s="19" t="s">
        <v>20</v>
      </c>
      <c r="D336" s="15">
        <v>44085</v>
      </c>
      <c r="E336" s="16" t="s">
        <v>452</v>
      </c>
      <c r="F336" s="26">
        <v>3897</v>
      </c>
      <c r="G336" s="17" t="s">
        <v>11</v>
      </c>
      <c r="H336" s="26">
        <v>116</v>
      </c>
      <c r="I336" s="26">
        <f t="shared" si="15"/>
        <v>201</v>
      </c>
      <c r="J336" s="18" t="s">
        <v>13</v>
      </c>
      <c r="K336" s="27">
        <f t="shared" si="16"/>
        <v>97</v>
      </c>
      <c r="L336" s="28">
        <f t="shared" si="17"/>
        <v>4098</v>
      </c>
    </row>
    <row r="337" spans="2:12">
      <c r="B337" s="13" t="s">
        <v>355</v>
      </c>
      <c r="C337" s="14" t="s">
        <v>19</v>
      </c>
      <c r="D337" s="15">
        <v>44087</v>
      </c>
      <c r="E337" s="16" t="s">
        <v>18</v>
      </c>
      <c r="F337" s="26">
        <v>6284</v>
      </c>
      <c r="G337" s="17" t="s">
        <v>399</v>
      </c>
      <c r="H337" s="26">
        <v>188</v>
      </c>
      <c r="I337" s="26">
        <f t="shared" si="15"/>
        <v>324</v>
      </c>
      <c r="J337" s="18" t="s">
        <v>13</v>
      </c>
      <c r="K337" s="27">
        <f t="shared" si="16"/>
        <v>189</v>
      </c>
      <c r="L337" s="28">
        <f t="shared" si="17"/>
        <v>6608</v>
      </c>
    </row>
    <row r="338" spans="2:12">
      <c r="B338" s="13" t="s">
        <v>356</v>
      </c>
      <c r="C338" s="19" t="s">
        <v>20</v>
      </c>
      <c r="D338" s="15">
        <v>44092</v>
      </c>
      <c r="E338" s="16" t="s">
        <v>452</v>
      </c>
      <c r="F338" s="26">
        <v>8935</v>
      </c>
      <c r="G338" s="17" t="s">
        <v>397</v>
      </c>
      <c r="H338" s="26">
        <v>0</v>
      </c>
      <c r="I338" s="26">
        <f t="shared" si="15"/>
        <v>447</v>
      </c>
      <c r="J338" s="18" t="s">
        <v>439</v>
      </c>
      <c r="K338" s="27">
        <f t="shared" si="16"/>
        <v>313</v>
      </c>
      <c r="L338" s="28">
        <f t="shared" si="17"/>
        <v>9382</v>
      </c>
    </row>
    <row r="339" spans="2:12">
      <c r="B339" s="13" t="s">
        <v>357</v>
      </c>
      <c r="C339" s="14" t="s">
        <v>17</v>
      </c>
      <c r="D339" s="15">
        <v>44099</v>
      </c>
      <c r="E339" s="16" t="s">
        <v>18</v>
      </c>
      <c r="F339" s="26">
        <v>8604</v>
      </c>
      <c r="G339" s="17" t="s">
        <v>399</v>
      </c>
      <c r="H339" s="26">
        <v>0</v>
      </c>
      <c r="I339" s="26">
        <f t="shared" si="15"/>
        <v>430</v>
      </c>
      <c r="J339" s="18" t="s">
        <v>439</v>
      </c>
      <c r="K339" s="27">
        <f t="shared" si="16"/>
        <v>301</v>
      </c>
      <c r="L339" s="28">
        <f t="shared" si="17"/>
        <v>9034</v>
      </c>
    </row>
    <row r="340" spans="2:12">
      <c r="B340" s="13" t="s">
        <v>358</v>
      </c>
      <c r="C340" s="14" t="s">
        <v>19</v>
      </c>
      <c r="D340" s="15">
        <v>44106</v>
      </c>
      <c r="E340" s="16" t="s">
        <v>453</v>
      </c>
      <c r="F340" s="26">
        <v>6997</v>
      </c>
      <c r="G340" s="17" t="s">
        <v>396</v>
      </c>
      <c r="H340" s="26">
        <v>0</v>
      </c>
      <c r="I340" s="26">
        <f t="shared" si="15"/>
        <v>350</v>
      </c>
      <c r="J340" s="18" t="s">
        <v>439</v>
      </c>
      <c r="K340" s="27">
        <f t="shared" si="16"/>
        <v>210</v>
      </c>
      <c r="L340" s="28">
        <f t="shared" si="17"/>
        <v>7347</v>
      </c>
    </row>
    <row r="341" spans="2:12">
      <c r="B341" s="13" t="s">
        <v>359</v>
      </c>
      <c r="C341" s="14" t="s">
        <v>16</v>
      </c>
      <c r="D341" s="15">
        <v>44111</v>
      </c>
      <c r="E341" s="16" t="s">
        <v>450</v>
      </c>
      <c r="F341" s="26">
        <v>9306</v>
      </c>
      <c r="G341" s="17" t="s">
        <v>11</v>
      </c>
      <c r="H341" s="26">
        <v>0</v>
      </c>
      <c r="I341" s="26">
        <f t="shared" si="15"/>
        <v>465</v>
      </c>
      <c r="J341" s="18" t="s">
        <v>434</v>
      </c>
      <c r="K341" s="27">
        <f t="shared" si="16"/>
        <v>326</v>
      </c>
      <c r="L341" s="28">
        <f t="shared" si="17"/>
        <v>9771</v>
      </c>
    </row>
    <row r="342" spans="2:12">
      <c r="B342" s="13" t="s">
        <v>360</v>
      </c>
      <c r="C342" s="14" t="s">
        <v>9</v>
      </c>
      <c r="D342" s="15">
        <v>44111</v>
      </c>
      <c r="E342" s="16" t="s">
        <v>18</v>
      </c>
      <c r="F342" s="26">
        <v>714</v>
      </c>
      <c r="G342" s="17" t="s">
        <v>11</v>
      </c>
      <c r="H342" s="26">
        <v>14</v>
      </c>
      <c r="I342" s="26">
        <f t="shared" si="15"/>
        <v>36</v>
      </c>
      <c r="J342" s="18" t="s">
        <v>439</v>
      </c>
      <c r="K342" s="27">
        <f t="shared" si="16"/>
        <v>0</v>
      </c>
      <c r="L342" s="28">
        <f t="shared" si="17"/>
        <v>750</v>
      </c>
    </row>
    <row r="343" spans="2:12">
      <c r="B343" s="13" t="s">
        <v>361</v>
      </c>
      <c r="C343" s="16" t="s">
        <v>14</v>
      </c>
      <c r="D343" s="15">
        <v>44111</v>
      </c>
      <c r="E343" s="16" t="s">
        <v>450</v>
      </c>
      <c r="F343" s="26">
        <v>3972</v>
      </c>
      <c r="G343" s="17" t="s">
        <v>11</v>
      </c>
      <c r="H343" s="26">
        <v>0</v>
      </c>
      <c r="I343" s="26">
        <f t="shared" si="15"/>
        <v>199</v>
      </c>
      <c r="J343" s="18" t="s">
        <v>439</v>
      </c>
      <c r="K343" s="27">
        <f t="shared" si="16"/>
        <v>99</v>
      </c>
      <c r="L343" s="28">
        <f t="shared" si="17"/>
        <v>4171</v>
      </c>
    </row>
    <row r="344" spans="2:12">
      <c r="B344" s="13" t="s">
        <v>362</v>
      </c>
      <c r="C344" s="19" t="s">
        <v>20</v>
      </c>
      <c r="D344" s="15">
        <v>44115</v>
      </c>
      <c r="E344" s="16" t="s">
        <v>10</v>
      </c>
      <c r="F344" s="26">
        <v>6644</v>
      </c>
      <c r="G344" s="17" t="s">
        <v>12</v>
      </c>
      <c r="H344" s="26">
        <v>199</v>
      </c>
      <c r="I344" s="26">
        <f t="shared" si="15"/>
        <v>342</v>
      </c>
      <c r="J344" s="18" t="s">
        <v>13</v>
      </c>
      <c r="K344" s="27">
        <f t="shared" si="16"/>
        <v>199</v>
      </c>
      <c r="L344" s="28">
        <f t="shared" si="17"/>
        <v>6986</v>
      </c>
    </row>
    <row r="345" spans="2:12">
      <c r="B345" s="13" t="s">
        <v>363</v>
      </c>
      <c r="C345" s="14" t="s">
        <v>16</v>
      </c>
      <c r="D345" s="15">
        <v>44117</v>
      </c>
      <c r="E345" s="16" t="s">
        <v>452</v>
      </c>
      <c r="F345" s="26">
        <v>51</v>
      </c>
      <c r="G345" s="17" t="s">
        <v>12</v>
      </c>
      <c r="H345" s="26">
        <v>0</v>
      </c>
      <c r="I345" s="26">
        <f t="shared" si="15"/>
        <v>3</v>
      </c>
      <c r="J345" s="18" t="s">
        <v>434</v>
      </c>
      <c r="K345" s="27">
        <f t="shared" si="16"/>
        <v>0</v>
      </c>
      <c r="L345" s="28">
        <f t="shared" si="17"/>
        <v>54</v>
      </c>
    </row>
    <row r="346" spans="2:12">
      <c r="B346" s="13" t="s">
        <v>364</v>
      </c>
      <c r="C346" s="14" t="s">
        <v>9</v>
      </c>
      <c r="D346" s="15">
        <v>44117</v>
      </c>
      <c r="E346" s="16" t="s">
        <v>10</v>
      </c>
      <c r="F346" s="26">
        <v>5090</v>
      </c>
      <c r="G346" s="17" t="s">
        <v>397</v>
      </c>
      <c r="H346" s="26">
        <v>152</v>
      </c>
      <c r="I346" s="26">
        <f t="shared" si="15"/>
        <v>262</v>
      </c>
      <c r="J346" s="18" t="s">
        <v>13</v>
      </c>
      <c r="K346" s="27">
        <f t="shared" si="16"/>
        <v>127</v>
      </c>
      <c r="L346" s="28">
        <f t="shared" si="17"/>
        <v>5352</v>
      </c>
    </row>
    <row r="347" spans="2:12">
      <c r="B347" s="13" t="s">
        <v>365</v>
      </c>
      <c r="C347" s="16" t="s">
        <v>14</v>
      </c>
      <c r="D347" s="15">
        <v>44117</v>
      </c>
      <c r="E347" s="16" t="s">
        <v>452</v>
      </c>
      <c r="F347" s="26">
        <v>6155</v>
      </c>
      <c r="G347" s="17" t="s">
        <v>397</v>
      </c>
      <c r="H347" s="26">
        <v>0</v>
      </c>
      <c r="I347" s="26">
        <f t="shared" si="15"/>
        <v>308</v>
      </c>
      <c r="J347" s="18" t="s">
        <v>439</v>
      </c>
      <c r="K347" s="27">
        <f t="shared" si="16"/>
        <v>185</v>
      </c>
      <c r="L347" s="28">
        <f t="shared" si="17"/>
        <v>6463</v>
      </c>
    </row>
    <row r="348" spans="2:12">
      <c r="B348" s="13" t="s">
        <v>366</v>
      </c>
      <c r="C348" s="14" t="s">
        <v>16</v>
      </c>
      <c r="D348" s="15">
        <v>44119</v>
      </c>
      <c r="E348" s="16" t="s">
        <v>452</v>
      </c>
      <c r="F348" s="26">
        <v>2568</v>
      </c>
      <c r="G348" s="17" t="s">
        <v>11</v>
      </c>
      <c r="H348" s="26">
        <v>0</v>
      </c>
      <c r="I348" s="26">
        <f t="shared" si="15"/>
        <v>128</v>
      </c>
      <c r="J348" s="18" t="s">
        <v>434</v>
      </c>
      <c r="K348" s="27">
        <f t="shared" si="16"/>
        <v>51</v>
      </c>
      <c r="L348" s="28">
        <f t="shared" si="17"/>
        <v>2696</v>
      </c>
    </row>
    <row r="349" spans="2:12">
      <c r="B349" s="13" t="s">
        <v>367</v>
      </c>
      <c r="C349" s="14" t="s">
        <v>19</v>
      </c>
      <c r="D349" s="15">
        <v>44120</v>
      </c>
      <c r="E349" s="16" t="s">
        <v>450</v>
      </c>
      <c r="F349" s="26">
        <v>6960</v>
      </c>
      <c r="G349" s="17" t="s">
        <v>397</v>
      </c>
      <c r="H349" s="26">
        <v>208</v>
      </c>
      <c r="I349" s="26">
        <f t="shared" si="15"/>
        <v>358</v>
      </c>
      <c r="J349" s="18" t="s">
        <v>13</v>
      </c>
      <c r="K349" s="27">
        <f t="shared" si="16"/>
        <v>209</v>
      </c>
      <c r="L349" s="28">
        <f t="shared" si="17"/>
        <v>7318</v>
      </c>
    </row>
    <row r="350" spans="2:12">
      <c r="B350" s="13" t="s">
        <v>368</v>
      </c>
      <c r="C350" s="19" t="s">
        <v>20</v>
      </c>
      <c r="D350" s="15">
        <v>44121</v>
      </c>
      <c r="E350" s="16" t="s">
        <v>453</v>
      </c>
      <c r="F350" s="26">
        <v>5242</v>
      </c>
      <c r="G350" s="17" t="s">
        <v>397</v>
      </c>
      <c r="H350" s="26">
        <v>0</v>
      </c>
      <c r="I350" s="26">
        <f t="shared" si="15"/>
        <v>262</v>
      </c>
      <c r="J350" s="18" t="s">
        <v>434</v>
      </c>
      <c r="K350" s="27">
        <f t="shared" si="16"/>
        <v>131</v>
      </c>
      <c r="L350" s="28">
        <f t="shared" si="17"/>
        <v>5504</v>
      </c>
    </row>
    <row r="351" spans="2:12">
      <c r="B351" s="13" t="s">
        <v>369</v>
      </c>
      <c r="C351" s="14" t="s">
        <v>9</v>
      </c>
      <c r="D351" s="15">
        <v>44125</v>
      </c>
      <c r="E351" s="16" t="s">
        <v>453</v>
      </c>
      <c r="F351" s="26">
        <v>2504</v>
      </c>
      <c r="G351" s="17" t="s">
        <v>12</v>
      </c>
      <c r="H351" s="26">
        <v>75</v>
      </c>
      <c r="I351" s="26">
        <f t="shared" si="15"/>
        <v>129</v>
      </c>
      <c r="J351" s="18" t="s">
        <v>13</v>
      </c>
      <c r="K351" s="27">
        <f t="shared" si="16"/>
        <v>50</v>
      </c>
      <c r="L351" s="28">
        <f t="shared" si="17"/>
        <v>2633</v>
      </c>
    </row>
    <row r="352" spans="2:12">
      <c r="B352" s="13" t="s">
        <v>370</v>
      </c>
      <c r="C352" s="14" t="s">
        <v>17</v>
      </c>
      <c r="D352" s="15">
        <v>44131</v>
      </c>
      <c r="E352" s="16" t="s">
        <v>10</v>
      </c>
      <c r="F352" s="26">
        <v>2930</v>
      </c>
      <c r="G352" s="17" t="s">
        <v>12</v>
      </c>
      <c r="H352" s="26">
        <v>58</v>
      </c>
      <c r="I352" s="26">
        <f t="shared" si="15"/>
        <v>149</v>
      </c>
      <c r="J352" s="18" t="s">
        <v>439</v>
      </c>
      <c r="K352" s="27">
        <f t="shared" si="16"/>
        <v>59</v>
      </c>
      <c r="L352" s="28">
        <f t="shared" si="17"/>
        <v>3079</v>
      </c>
    </row>
    <row r="353" spans="2:12">
      <c r="B353" s="13" t="s">
        <v>371</v>
      </c>
      <c r="C353" s="14" t="s">
        <v>17</v>
      </c>
      <c r="D353" s="15">
        <v>44132</v>
      </c>
      <c r="E353" s="16" t="s">
        <v>10</v>
      </c>
      <c r="F353" s="26">
        <v>4745</v>
      </c>
      <c r="G353" s="17" t="s">
        <v>12</v>
      </c>
      <c r="H353" s="26">
        <v>85</v>
      </c>
      <c r="I353" s="26">
        <f t="shared" si="15"/>
        <v>242</v>
      </c>
      <c r="J353" s="18" t="s">
        <v>435</v>
      </c>
      <c r="K353" s="27">
        <f t="shared" si="16"/>
        <v>119</v>
      </c>
      <c r="L353" s="28">
        <f t="shared" si="17"/>
        <v>4987</v>
      </c>
    </row>
    <row r="354" spans="2:12">
      <c r="B354" s="13" t="s">
        <v>372</v>
      </c>
      <c r="C354" s="14" t="s">
        <v>17</v>
      </c>
      <c r="D354" s="15">
        <v>44139</v>
      </c>
      <c r="E354" s="16" t="s">
        <v>18</v>
      </c>
      <c r="F354" s="26">
        <v>4799</v>
      </c>
      <c r="G354" s="17" t="s">
        <v>11</v>
      </c>
      <c r="H354" s="26">
        <v>0</v>
      </c>
      <c r="I354" s="26">
        <f t="shared" si="15"/>
        <v>240</v>
      </c>
      <c r="J354" s="18" t="s">
        <v>439</v>
      </c>
      <c r="K354" s="27">
        <f t="shared" si="16"/>
        <v>120</v>
      </c>
      <c r="L354" s="28">
        <f t="shared" si="17"/>
        <v>5039</v>
      </c>
    </row>
    <row r="355" spans="2:12">
      <c r="B355" s="13" t="s">
        <v>373</v>
      </c>
      <c r="C355" s="14" t="s">
        <v>19</v>
      </c>
      <c r="D355" s="15">
        <v>44145</v>
      </c>
      <c r="E355" s="16" t="s">
        <v>450</v>
      </c>
      <c r="F355" s="26">
        <v>7802</v>
      </c>
      <c r="G355" s="17" t="s">
        <v>399</v>
      </c>
      <c r="H355" s="26">
        <v>0</v>
      </c>
      <c r="I355" s="26">
        <f t="shared" si="15"/>
        <v>390</v>
      </c>
      <c r="J355" s="18" t="s">
        <v>434</v>
      </c>
      <c r="K355" s="27">
        <f t="shared" si="16"/>
        <v>234</v>
      </c>
      <c r="L355" s="28">
        <f t="shared" si="17"/>
        <v>8192</v>
      </c>
    </row>
    <row r="356" spans="2:12">
      <c r="B356" s="13" t="s">
        <v>374</v>
      </c>
      <c r="C356" s="14" t="s">
        <v>19</v>
      </c>
      <c r="D356" s="15">
        <v>44147</v>
      </c>
      <c r="E356" s="16" t="s">
        <v>18</v>
      </c>
      <c r="F356" s="26">
        <v>5991</v>
      </c>
      <c r="G356" s="17" t="s">
        <v>396</v>
      </c>
      <c r="H356" s="26">
        <v>0</v>
      </c>
      <c r="I356" s="26">
        <f t="shared" si="15"/>
        <v>300</v>
      </c>
      <c r="J356" s="18" t="s">
        <v>439</v>
      </c>
      <c r="K356" s="27">
        <f t="shared" si="16"/>
        <v>150</v>
      </c>
      <c r="L356" s="28">
        <f t="shared" si="17"/>
        <v>6291</v>
      </c>
    </row>
    <row r="357" spans="2:12">
      <c r="B357" s="13" t="s">
        <v>375</v>
      </c>
      <c r="C357" s="14" t="s">
        <v>19</v>
      </c>
      <c r="D357" s="15">
        <v>44148</v>
      </c>
      <c r="E357" s="16" t="s">
        <v>450</v>
      </c>
      <c r="F357" s="26">
        <v>6227</v>
      </c>
      <c r="G357" s="17" t="s">
        <v>399</v>
      </c>
      <c r="H357" s="26">
        <v>0</v>
      </c>
      <c r="I357" s="26">
        <f t="shared" si="15"/>
        <v>311</v>
      </c>
      <c r="J357" s="18" t="s">
        <v>439</v>
      </c>
      <c r="K357" s="27">
        <f t="shared" si="16"/>
        <v>187</v>
      </c>
      <c r="L357" s="28">
        <f t="shared" si="17"/>
        <v>6538</v>
      </c>
    </row>
    <row r="358" spans="2:12">
      <c r="B358" s="13" t="s">
        <v>376</v>
      </c>
      <c r="C358" s="14" t="s">
        <v>15</v>
      </c>
      <c r="D358" s="15">
        <v>44149</v>
      </c>
      <c r="E358" s="16" t="s">
        <v>450</v>
      </c>
      <c r="F358" s="26">
        <v>8847</v>
      </c>
      <c r="G358" s="17" t="s">
        <v>11</v>
      </c>
      <c r="H358" s="26">
        <v>159</v>
      </c>
      <c r="I358" s="26">
        <f t="shared" si="15"/>
        <v>450</v>
      </c>
      <c r="J358" s="18" t="s">
        <v>435</v>
      </c>
      <c r="K358" s="27">
        <f t="shared" si="16"/>
        <v>310</v>
      </c>
      <c r="L358" s="28">
        <f t="shared" si="17"/>
        <v>9297</v>
      </c>
    </row>
    <row r="359" spans="2:12">
      <c r="B359" s="13" t="s">
        <v>377</v>
      </c>
      <c r="C359" s="16" t="s">
        <v>14</v>
      </c>
      <c r="D359" s="15">
        <v>44150</v>
      </c>
      <c r="E359" s="16" t="s">
        <v>450</v>
      </c>
      <c r="F359" s="26">
        <v>8286</v>
      </c>
      <c r="G359" s="17" t="s">
        <v>11</v>
      </c>
      <c r="H359" s="26">
        <v>0</v>
      </c>
      <c r="I359" s="26">
        <f t="shared" si="15"/>
        <v>414</v>
      </c>
      <c r="J359" s="18" t="s">
        <v>439</v>
      </c>
      <c r="K359" s="27">
        <f t="shared" si="16"/>
        <v>290</v>
      </c>
      <c r="L359" s="28">
        <f t="shared" si="17"/>
        <v>8700</v>
      </c>
    </row>
    <row r="360" spans="2:12">
      <c r="B360" s="13" t="s">
        <v>378</v>
      </c>
      <c r="C360" s="14" t="s">
        <v>19</v>
      </c>
      <c r="D360" s="15">
        <v>44151</v>
      </c>
      <c r="E360" s="16" t="s">
        <v>453</v>
      </c>
      <c r="F360" s="26">
        <v>7459</v>
      </c>
      <c r="G360" s="17" t="s">
        <v>397</v>
      </c>
      <c r="H360" s="26">
        <v>134</v>
      </c>
      <c r="I360" s="26">
        <f t="shared" si="15"/>
        <v>380</v>
      </c>
      <c r="J360" s="18" t="s">
        <v>435</v>
      </c>
      <c r="K360" s="27">
        <f t="shared" si="16"/>
        <v>224</v>
      </c>
      <c r="L360" s="28">
        <f t="shared" si="17"/>
        <v>7839</v>
      </c>
    </row>
    <row r="361" spans="2:12">
      <c r="B361" s="13" t="s">
        <v>379</v>
      </c>
      <c r="C361" s="14" t="s">
        <v>9</v>
      </c>
      <c r="D361" s="15">
        <v>44158</v>
      </c>
      <c r="E361" s="16" t="s">
        <v>451</v>
      </c>
      <c r="F361" s="26">
        <v>983</v>
      </c>
      <c r="G361" s="17" t="s">
        <v>11</v>
      </c>
      <c r="H361" s="26">
        <v>29</v>
      </c>
      <c r="I361" s="26">
        <f>ROUND(F361*0.05,0)</f>
        <v>49</v>
      </c>
      <c r="J361" s="18" t="s">
        <v>13</v>
      </c>
      <c r="K361" s="27">
        <f t="shared" si="16"/>
        <v>0</v>
      </c>
      <c r="L361" s="28">
        <f t="shared" si="17"/>
        <v>1032</v>
      </c>
    </row>
    <row r="362" spans="2:12">
      <c r="B362" s="13" t="s">
        <v>380</v>
      </c>
      <c r="C362" s="19" t="s">
        <v>20</v>
      </c>
      <c r="D362" s="15">
        <v>44161</v>
      </c>
      <c r="E362" s="16" t="s">
        <v>18</v>
      </c>
      <c r="F362" s="26">
        <v>2439</v>
      </c>
      <c r="G362" s="17" t="s">
        <v>12</v>
      </c>
      <c r="H362" s="26">
        <v>0</v>
      </c>
      <c r="I362" s="26">
        <f t="shared" si="15"/>
        <v>122</v>
      </c>
      <c r="J362" s="18" t="s">
        <v>434</v>
      </c>
      <c r="K362" s="27">
        <f t="shared" si="16"/>
        <v>49</v>
      </c>
      <c r="L362" s="28">
        <f t="shared" si="17"/>
        <v>2561</v>
      </c>
    </row>
    <row r="363" spans="2:12">
      <c r="B363" s="13" t="s">
        <v>381</v>
      </c>
      <c r="C363" s="14" t="s">
        <v>17</v>
      </c>
      <c r="D363" s="15">
        <v>44166</v>
      </c>
      <c r="E363" s="16" t="s">
        <v>452</v>
      </c>
      <c r="F363" s="26">
        <v>8246</v>
      </c>
      <c r="G363" s="17" t="s">
        <v>396</v>
      </c>
      <c r="H363" s="26">
        <v>148</v>
      </c>
      <c r="I363" s="26">
        <f t="shared" si="15"/>
        <v>420</v>
      </c>
      <c r="J363" s="18" t="s">
        <v>435</v>
      </c>
      <c r="K363" s="27">
        <f t="shared" si="16"/>
        <v>289</v>
      </c>
      <c r="L363" s="28">
        <f t="shared" si="17"/>
        <v>8666</v>
      </c>
    </row>
    <row r="364" spans="2:12">
      <c r="B364" s="13" t="s">
        <v>382</v>
      </c>
      <c r="C364" s="14" t="s">
        <v>16</v>
      </c>
      <c r="D364" s="15">
        <v>44167</v>
      </c>
      <c r="E364" s="16" t="s">
        <v>18</v>
      </c>
      <c r="F364" s="26">
        <v>2462</v>
      </c>
      <c r="G364" s="17" t="s">
        <v>397</v>
      </c>
      <c r="H364" s="26">
        <v>49</v>
      </c>
      <c r="I364" s="26">
        <f t="shared" si="15"/>
        <v>126</v>
      </c>
      <c r="J364" s="18" t="s">
        <v>439</v>
      </c>
      <c r="K364" s="27">
        <f t="shared" si="16"/>
        <v>49</v>
      </c>
      <c r="L364" s="28">
        <f t="shared" si="17"/>
        <v>2588</v>
      </c>
    </row>
    <row r="365" spans="2:12">
      <c r="B365" s="13" t="s">
        <v>383</v>
      </c>
      <c r="C365" s="16" t="s">
        <v>14</v>
      </c>
      <c r="D365" s="15">
        <v>44169</v>
      </c>
      <c r="E365" s="16" t="s">
        <v>453</v>
      </c>
      <c r="F365" s="26">
        <v>9035</v>
      </c>
      <c r="G365" s="17" t="s">
        <v>396</v>
      </c>
      <c r="H365" s="26">
        <v>0</v>
      </c>
      <c r="I365" s="26">
        <f t="shared" si="15"/>
        <v>452</v>
      </c>
      <c r="J365" s="18" t="s">
        <v>434</v>
      </c>
      <c r="K365" s="27">
        <f t="shared" si="16"/>
        <v>316</v>
      </c>
      <c r="L365" s="28">
        <f t="shared" si="17"/>
        <v>9487</v>
      </c>
    </row>
    <row r="366" spans="2:12">
      <c r="B366" s="13" t="s">
        <v>384</v>
      </c>
      <c r="C366" s="14" t="s">
        <v>19</v>
      </c>
      <c r="D366" s="15">
        <v>44170</v>
      </c>
      <c r="E366" s="16" t="s">
        <v>18</v>
      </c>
      <c r="F366" s="26">
        <v>6454</v>
      </c>
      <c r="G366" s="17" t="s">
        <v>12</v>
      </c>
      <c r="H366" s="26">
        <v>0</v>
      </c>
      <c r="I366" s="26">
        <f t="shared" si="15"/>
        <v>323</v>
      </c>
      <c r="J366" s="18" t="s">
        <v>439</v>
      </c>
      <c r="K366" s="27">
        <f t="shared" si="16"/>
        <v>194</v>
      </c>
      <c r="L366" s="28">
        <f t="shared" si="17"/>
        <v>6777</v>
      </c>
    </row>
    <row r="367" spans="2:12">
      <c r="B367" s="13" t="s">
        <v>385</v>
      </c>
      <c r="C367" s="19" t="s">
        <v>20</v>
      </c>
      <c r="D367" s="15">
        <v>44172</v>
      </c>
      <c r="E367" s="16" t="s">
        <v>450</v>
      </c>
      <c r="F367" s="26">
        <v>2580</v>
      </c>
      <c r="G367" s="17" t="s">
        <v>11</v>
      </c>
      <c r="H367" s="26">
        <v>51</v>
      </c>
      <c r="I367" s="26">
        <f t="shared" si="15"/>
        <v>132</v>
      </c>
      <c r="J367" s="18" t="s">
        <v>439</v>
      </c>
      <c r="K367" s="27">
        <f t="shared" si="16"/>
        <v>52</v>
      </c>
      <c r="L367" s="28">
        <f t="shared" si="17"/>
        <v>2712</v>
      </c>
    </row>
    <row r="368" spans="2:12">
      <c r="B368" s="13" t="s">
        <v>386</v>
      </c>
      <c r="C368" s="14" t="s">
        <v>15</v>
      </c>
      <c r="D368" s="15">
        <v>44173</v>
      </c>
      <c r="E368" s="16" t="s">
        <v>450</v>
      </c>
      <c r="F368" s="26">
        <v>7422</v>
      </c>
      <c r="G368" s="17" t="s">
        <v>11</v>
      </c>
      <c r="H368" s="26">
        <v>0</v>
      </c>
      <c r="I368" s="26">
        <f t="shared" si="15"/>
        <v>371</v>
      </c>
      <c r="J368" s="18" t="s">
        <v>439</v>
      </c>
      <c r="K368" s="27">
        <f t="shared" si="16"/>
        <v>223</v>
      </c>
      <c r="L368" s="28">
        <f t="shared" si="17"/>
        <v>7793</v>
      </c>
    </row>
    <row r="369" spans="2:12">
      <c r="B369" s="13" t="s">
        <v>387</v>
      </c>
      <c r="C369" s="19" t="s">
        <v>20</v>
      </c>
      <c r="D369" s="15">
        <v>44173</v>
      </c>
      <c r="E369" s="16" t="s">
        <v>18</v>
      </c>
      <c r="F369" s="26">
        <v>5330</v>
      </c>
      <c r="G369" s="17" t="s">
        <v>11</v>
      </c>
      <c r="H369" s="26">
        <v>159</v>
      </c>
      <c r="I369" s="26">
        <f t="shared" si="15"/>
        <v>274</v>
      </c>
      <c r="J369" s="18" t="s">
        <v>13</v>
      </c>
      <c r="K369" s="27">
        <f t="shared" si="16"/>
        <v>133</v>
      </c>
      <c r="L369" s="28">
        <f t="shared" si="17"/>
        <v>5604</v>
      </c>
    </row>
    <row r="370" spans="2:12">
      <c r="B370" s="13" t="s">
        <v>388</v>
      </c>
      <c r="C370" s="19" t="s">
        <v>20</v>
      </c>
      <c r="D370" s="15">
        <v>44174</v>
      </c>
      <c r="E370" s="16" t="s">
        <v>450</v>
      </c>
      <c r="F370" s="26">
        <v>6349</v>
      </c>
      <c r="G370" s="17" t="s">
        <v>12</v>
      </c>
      <c r="H370" s="26">
        <v>190</v>
      </c>
      <c r="I370" s="26">
        <f t="shared" si="15"/>
        <v>327</v>
      </c>
      <c r="J370" s="18" t="s">
        <v>13</v>
      </c>
      <c r="K370" s="27">
        <f t="shared" si="16"/>
        <v>190</v>
      </c>
      <c r="L370" s="28">
        <f t="shared" si="17"/>
        <v>6676</v>
      </c>
    </row>
    <row r="371" spans="2:12">
      <c r="B371" s="13" t="s">
        <v>389</v>
      </c>
      <c r="C371" s="19" t="s">
        <v>20</v>
      </c>
      <c r="D371" s="15">
        <v>44175</v>
      </c>
      <c r="E371" s="16" t="s">
        <v>10</v>
      </c>
      <c r="F371" s="26">
        <v>7844</v>
      </c>
      <c r="G371" s="17" t="s">
        <v>396</v>
      </c>
      <c r="H371" s="26">
        <v>0</v>
      </c>
      <c r="I371" s="26">
        <f t="shared" si="15"/>
        <v>392</v>
      </c>
      <c r="J371" s="18" t="s">
        <v>439</v>
      </c>
      <c r="K371" s="27">
        <f t="shared" si="16"/>
        <v>235</v>
      </c>
      <c r="L371" s="28">
        <f t="shared" si="17"/>
        <v>8236</v>
      </c>
    </row>
    <row r="372" spans="2:12">
      <c r="B372" s="13" t="s">
        <v>390</v>
      </c>
      <c r="C372" s="14" t="s">
        <v>15</v>
      </c>
      <c r="D372" s="15">
        <v>44179</v>
      </c>
      <c r="E372" s="16" t="s">
        <v>18</v>
      </c>
      <c r="F372" s="26">
        <v>6428</v>
      </c>
      <c r="G372" s="17" t="s">
        <v>12</v>
      </c>
      <c r="H372" s="26">
        <v>0</v>
      </c>
      <c r="I372" s="26">
        <f t="shared" si="15"/>
        <v>321</v>
      </c>
      <c r="J372" s="18" t="s">
        <v>434</v>
      </c>
      <c r="K372" s="27">
        <f t="shared" si="16"/>
        <v>193</v>
      </c>
      <c r="L372" s="28">
        <f t="shared" si="17"/>
        <v>6749</v>
      </c>
    </row>
    <row r="373" spans="2:12">
      <c r="B373" s="13" t="s">
        <v>391</v>
      </c>
      <c r="C373" s="16" t="s">
        <v>14</v>
      </c>
      <c r="D373" s="15">
        <v>44181</v>
      </c>
      <c r="E373" s="16" t="s">
        <v>451</v>
      </c>
      <c r="F373" s="26">
        <v>6102</v>
      </c>
      <c r="G373" s="17" t="s">
        <v>397</v>
      </c>
      <c r="H373" s="26">
        <v>109</v>
      </c>
      <c r="I373" s="26">
        <f t="shared" si="15"/>
        <v>311</v>
      </c>
      <c r="J373" s="18" t="s">
        <v>435</v>
      </c>
      <c r="K373" s="27">
        <f t="shared" si="16"/>
        <v>183</v>
      </c>
      <c r="L373" s="28">
        <f t="shared" si="17"/>
        <v>6413</v>
      </c>
    </row>
    <row r="374" spans="2:12">
      <c r="B374" s="13" t="s">
        <v>392</v>
      </c>
      <c r="C374" s="14" t="s">
        <v>19</v>
      </c>
      <c r="D374" s="15">
        <v>44183</v>
      </c>
      <c r="E374" s="16" t="s">
        <v>452</v>
      </c>
      <c r="F374" s="26">
        <v>986</v>
      </c>
      <c r="G374" s="17" t="s">
        <v>12</v>
      </c>
      <c r="H374" s="26">
        <v>17</v>
      </c>
      <c r="I374" s="26">
        <f t="shared" si="15"/>
        <v>50</v>
      </c>
      <c r="J374" s="18" t="s">
        <v>435</v>
      </c>
      <c r="K374" s="27">
        <f t="shared" si="16"/>
        <v>0</v>
      </c>
      <c r="L374" s="28">
        <f t="shared" si="17"/>
        <v>1036</v>
      </c>
    </row>
  </sheetData>
  <sortState xmlns:xlrd2="http://schemas.microsoft.com/office/spreadsheetml/2017/richdata2" ref="B3:L374">
    <sortCondition ref="B4:B374"/>
  </sortState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77E6-71EE-442B-96BD-6CCA49F45DDE}">
  <dimension ref="B2:D11"/>
  <sheetViews>
    <sheetView workbookViewId="0">
      <selection activeCell="B1" sqref="B1"/>
    </sheetView>
  </sheetViews>
  <sheetFormatPr defaultRowHeight="15.75"/>
  <cols>
    <col min="1" max="1" width="3" style="1" customWidth="1"/>
    <col min="2" max="2" width="10.125" style="1" bestFit="1" customWidth="1"/>
    <col min="3" max="3" width="10.375" style="1" bestFit="1" customWidth="1"/>
    <col min="4" max="4" width="9.75" style="1" bestFit="1" customWidth="1"/>
    <col min="5" max="16384" width="9" style="1"/>
  </cols>
  <sheetData>
    <row r="2" spans="2:4" ht="24">
      <c r="B2" s="42" t="s">
        <v>448</v>
      </c>
      <c r="C2" s="42"/>
      <c r="D2" s="42"/>
    </row>
    <row r="3" spans="2:4">
      <c r="B3" s="29" t="s">
        <v>1</v>
      </c>
      <c r="C3" s="1" t="s">
        <v>446</v>
      </c>
      <c r="D3" s="1" t="s">
        <v>447</v>
      </c>
    </row>
    <row r="4" spans="2:4">
      <c r="B4" s="1" t="s">
        <v>17</v>
      </c>
      <c r="C4" s="25">
        <v>49</v>
      </c>
      <c r="D4" s="30">
        <v>6788</v>
      </c>
    </row>
    <row r="5" spans="2:4">
      <c r="B5" s="1" t="s">
        <v>15</v>
      </c>
      <c r="C5" s="25">
        <v>52</v>
      </c>
      <c r="D5" s="30">
        <v>7407</v>
      </c>
    </row>
    <row r="6" spans="2:4">
      <c r="B6" s="1" t="s">
        <v>9</v>
      </c>
      <c r="C6" s="25">
        <v>50</v>
      </c>
      <c r="D6" s="30">
        <v>6173</v>
      </c>
    </row>
    <row r="7" spans="2:4">
      <c r="B7" s="1" t="s">
        <v>20</v>
      </c>
      <c r="C7" s="25">
        <v>65</v>
      </c>
      <c r="D7" s="30">
        <v>8879</v>
      </c>
    </row>
    <row r="8" spans="2:4">
      <c r="B8" s="1" t="s">
        <v>16</v>
      </c>
      <c r="C8" s="25">
        <v>54</v>
      </c>
      <c r="D8" s="30">
        <v>8349</v>
      </c>
    </row>
    <row r="9" spans="2:4">
      <c r="B9" s="1" t="s">
        <v>19</v>
      </c>
      <c r="C9" s="25">
        <v>53</v>
      </c>
      <c r="D9" s="30">
        <v>7273</v>
      </c>
    </row>
    <row r="10" spans="2:4">
      <c r="B10" s="1" t="s">
        <v>14</v>
      </c>
      <c r="C10" s="25">
        <v>49</v>
      </c>
      <c r="D10" s="30">
        <v>7623</v>
      </c>
    </row>
    <row r="11" spans="2:4">
      <c r="B11" s="1" t="s">
        <v>443</v>
      </c>
      <c r="C11" s="25">
        <v>372</v>
      </c>
      <c r="D11" s="30">
        <v>52492</v>
      </c>
    </row>
  </sheetData>
  <mergeCells count="1">
    <mergeCell ref="B2:D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"/>
  <sheetViews>
    <sheetView workbookViewId="0"/>
  </sheetViews>
  <sheetFormatPr defaultRowHeight="15.75"/>
  <cols>
    <col min="1" max="1" width="3" style="1" customWidth="1"/>
    <col min="2" max="2" width="8.5" style="1" customWidth="1"/>
    <col min="3" max="4" width="8.875" style="1" bestFit="1" customWidth="1"/>
    <col min="5" max="5" width="6.875" style="1" bestFit="1" customWidth="1"/>
    <col min="6" max="16384" width="9" style="1"/>
  </cols>
  <sheetData>
    <row r="2" spans="2:5">
      <c r="B2" s="2" t="s">
        <v>393</v>
      </c>
      <c r="C2" s="2" t="s">
        <v>394</v>
      </c>
      <c r="D2" s="2" t="s">
        <v>395</v>
      </c>
      <c r="E2" s="2" t="s">
        <v>8</v>
      </c>
    </row>
    <row r="3" spans="2:5">
      <c r="B3" s="3">
        <v>0</v>
      </c>
      <c r="C3" s="4">
        <v>0</v>
      </c>
      <c r="D3" s="3">
        <v>0</v>
      </c>
      <c r="E3" s="3">
        <v>0</v>
      </c>
    </row>
    <row r="4" spans="2:5">
      <c r="B4" s="3">
        <v>1000</v>
      </c>
      <c r="C4" s="4">
        <v>0.01</v>
      </c>
      <c r="D4" s="3">
        <v>1</v>
      </c>
      <c r="E4" s="3">
        <v>0</v>
      </c>
    </row>
    <row r="5" spans="2:5">
      <c r="B5" s="3">
        <v>1500</v>
      </c>
      <c r="C5" s="4">
        <v>1.4999999999999999E-2</v>
      </c>
      <c r="D5" s="5">
        <v>2</v>
      </c>
      <c r="E5" s="3">
        <v>2</v>
      </c>
    </row>
    <row r="6" spans="2:5">
      <c r="B6" s="3">
        <v>2000</v>
      </c>
      <c r="C6" s="4">
        <v>0.02</v>
      </c>
      <c r="D6" s="5">
        <v>5</v>
      </c>
      <c r="E6" s="3">
        <v>3</v>
      </c>
    </row>
    <row r="7" spans="2:5">
      <c r="B7" s="3">
        <v>3500</v>
      </c>
      <c r="C7" s="4">
        <v>2.5000000000000001E-2</v>
      </c>
      <c r="D7" s="5">
        <v>8</v>
      </c>
      <c r="E7" s="3">
        <v>5</v>
      </c>
    </row>
    <row r="8" spans="2:5">
      <c r="B8" s="3">
        <v>6000</v>
      </c>
      <c r="C8" s="4">
        <v>0.03</v>
      </c>
      <c r="D8" s="5">
        <v>10</v>
      </c>
      <c r="E8" s="3">
        <v>8</v>
      </c>
    </row>
    <row r="9" spans="2:5">
      <c r="B9" s="3">
        <v>8000</v>
      </c>
      <c r="C9" s="4">
        <v>3.5000000000000003E-2</v>
      </c>
      <c r="D9" s="5">
        <v>20</v>
      </c>
      <c r="E9" s="3">
        <v>12</v>
      </c>
    </row>
    <row r="10" spans="2:5">
      <c r="B10" s="3">
        <v>10000</v>
      </c>
      <c r="C10" s="4">
        <v>0.05</v>
      </c>
      <c r="D10" s="5">
        <v>35</v>
      </c>
      <c r="E10" s="3">
        <v>20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6A8F-7BE4-4F56-A2F5-FAE99E49ED21}">
  <dimension ref="A1:H11"/>
  <sheetViews>
    <sheetView workbookViewId="0"/>
  </sheetViews>
  <sheetFormatPr defaultRowHeight="15.75"/>
  <cols>
    <col min="1" max="2" width="9" style="1"/>
    <col min="3" max="3" width="5.75" style="1" bestFit="1" customWidth="1"/>
    <col min="4" max="16384" width="9" style="1"/>
  </cols>
  <sheetData>
    <row r="1" spans="1:8" ht="16.5">
      <c r="A1" s="38" t="s">
        <v>455</v>
      </c>
      <c r="B1" s="38" t="s">
        <v>404</v>
      </c>
      <c r="C1" s="39" t="s">
        <v>405</v>
      </c>
      <c r="D1" s="39" t="s">
        <v>406</v>
      </c>
      <c r="G1" s="43" t="s">
        <v>428</v>
      </c>
      <c r="H1" s="43"/>
    </row>
    <row r="2" spans="1:8" ht="16.5">
      <c r="A2" s="1" t="s">
        <v>407</v>
      </c>
      <c r="B2" s="1" t="s">
        <v>400</v>
      </c>
      <c r="C2" s="1">
        <v>95</v>
      </c>
      <c r="G2" s="40" t="s">
        <v>427</v>
      </c>
      <c r="H2" s="40" t="s">
        <v>406</v>
      </c>
    </row>
    <row r="3" spans="1:8">
      <c r="A3" s="1" t="s">
        <v>408</v>
      </c>
      <c r="B3" s="1" t="s">
        <v>401</v>
      </c>
      <c r="C3" s="1">
        <v>57</v>
      </c>
      <c r="G3" s="41"/>
      <c r="H3" s="41" t="s">
        <v>426</v>
      </c>
    </row>
    <row r="4" spans="1:8">
      <c r="A4" s="1" t="s">
        <v>409</v>
      </c>
      <c r="B4" s="1" t="s">
        <v>402</v>
      </c>
      <c r="C4" s="1">
        <v>60</v>
      </c>
      <c r="G4" s="41"/>
      <c r="H4" s="41" t="s">
        <v>425</v>
      </c>
    </row>
    <row r="5" spans="1:8">
      <c r="A5" s="1" t="s">
        <v>410</v>
      </c>
      <c r="B5" s="1" t="s">
        <v>403</v>
      </c>
      <c r="C5" s="1">
        <v>94</v>
      </c>
      <c r="G5" s="41"/>
      <c r="H5" s="41" t="s">
        <v>424</v>
      </c>
    </row>
    <row r="6" spans="1:8">
      <c r="A6" s="1" t="s">
        <v>411</v>
      </c>
      <c r="B6" s="1" t="s">
        <v>416</v>
      </c>
      <c r="C6" s="1">
        <v>76</v>
      </c>
      <c r="G6" s="41"/>
      <c r="H6" s="41" t="s">
        <v>423</v>
      </c>
    </row>
    <row r="7" spans="1:8">
      <c r="A7" s="1" t="s">
        <v>412</v>
      </c>
      <c r="B7" s="1" t="s">
        <v>417</v>
      </c>
      <c r="C7" s="1">
        <v>82</v>
      </c>
      <c r="G7" s="41"/>
      <c r="H7" s="41" t="s">
        <v>422</v>
      </c>
    </row>
    <row r="8" spans="1:8">
      <c r="A8" s="1" t="s">
        <v>413</v>
      </c>
      <c r="B8" s="1" t="s">
        <v>418</v>
      </c>
      <c r="C8" s="1">
        <v>54</v>
      </c>
    </row>
    <row r="9" spans="1:8">
      <c r="A9" s="1" t="s">
        <v>414</v>
      </c>
      <c r="B9" s="1" t="s">
        <v>419</v>
      </c>
      <c r="C9" s="1">
        <v>97</v>
      </c>
    </row>
    <row r="10" spans="1:8">
      <c r="A10" s="1" t="s">
        <v>414</v>
      </c>
      <c r="B10" s="1" t="s">
        <v>420</v>
      </c>
      <c r="C10" s="1">
        <v>75</v>
      </c>
    </row>
    <row r="11" spans="1:8">
      <c r="A11" s="1" t="s">
        <v>415</v>
      </c>
      <c r="B11" s="1" t="s">
        <v>421</v>
      </c>
      <c r="C11" s="1">
        <v>63</v>
      </c>
    </row>
  </sheetData>
  <mergeCells count="1">
    <mergeCell ref="G1:H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訂單</vt:lpstr>
      <vt:lpstr>績效</vt:lpstr>
      <vt:lpstr>獎金比例</vt:lpstr>
      <vt:lpstr>考績</vt:lpstr>
      <vt:lpstr>獎金比例對照表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2021-04-05T21:11:05Z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4e74f1d2-b995-4011-917f-19400af9215f</vt:lpwstr>
  </property>
</Properties>
</file>