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vec\Downloads\"/>
    </mc:Choice>
  </mc:AlternateContent>
  <xr:revisionPtr revIDLastSave="0" documentId="13_ncr:1_{C46A2020-4D29-4E88-A5BD-DAE8161E06D7}" xr6:coauthVersionLast="47" xr6:coauthVersionMax="47" xr10:uidLastSave="{00000000-0000-0000-0000-000000000000}"/>
  <bookViews>
    <workbookView xWindow="-93" yWindow="-93" windowWidth="18426" windowHeight="11746" tabRatio="792" activeTab="1" xr2:uid="{FF672CE2-976F-4078-930A-593EF67BAB0C}"/>
  </bookViews>
  <sheets>
    <sheet name="職員" sheetId="1" r:id="rId1"/>
    <sheet name="總銷售額" sheetId="2" r:id="rId2"/>
    <sheet name="優惠方案" sheetId="7" r:id="rId3"/>
    <sheet name="方案分析" sheetId="8" r:id="rId4"/>
  </sheets>
  <definedNames>
    <definedName name="連絡電話">職員!$H$2:$K$4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2" l="1"/>
  <c r="D8" i="2"/>
  <c r="E8" i="2"/>
  <c r="B8" i="2"/>
</calcChain>
</file>

<file path=xl/sharedStrings.xml><?xml version="1.0" encoding="utf-8"?>
<sst xmlns="http://schemas.openxmlformats.org/spreadsheetml/2006/main" count="123" uniqueCount="97">
  <si>
    <r>
      <rPr>
        <b/>
        <sz val="11"/>
        <rFont val="新細明體"/>
        <family val="2"/>
        <scheme val="minor"/>
      </rPr>
      <t>方案編號</t>
    </r>
  </si>
  <si>
    <r>
      <rPr>
        <b/>
        <sz val="11"/>
        <rFont val="新細明體"/>
        <family val="2"/>
        <scheme val="minor"/>
      </rPr>
      <t>方案</t>
    </r>
  </si>
  <si>
    <t>方案</t>
  </si>
  <si>
    <t>(全部)</t>
  </si>
  <si>
    <r>
      <rPr>
        <b/>
        <sz val="11"/>
        <rFont val="新細明體"/>
        <family val="2"/>
      </rPr>
      <t>地區</t>
    </r>
  </si>
  <si>
    <r>
      <rPr>
        <b/>
        <sz val="11"/>
        <rFont val="新細明體"/>
        <family val="2"/>
      </rPr>
      <t>名字</t>
    </r>
  </si>
  <si>
    <r>
      <rPr>
        <b/>
        <sz val="11"/>
        <rFont val="新細明體"/>
        <family val="2"/>
      </rPr>
      <t>電子郵件</t>
    </r>
  </si>
  <si>
    <r>
      <rPr>
        <sz val="11"/>
        <color theme="1"/>
        <rFont val="新細明體"/>
        <family val="2"/>
      </rPr>
      <t>西部</t>
    </r>
  </si>
  <si>
    <r>
      <rPr>
        <sz val="11"/>
        <color theme="1"/>
        <rFont val="新細明體"/>
        <family val="2"/>
      </rPr>
      <t>南部</t>
    </r>
  </si>
  <si>
    <r>
      <rPr>
        <sz val="11"/>
        <color theme="1"/>
        <rFont val="新細明體"/>
        <family val="2"/>
      </rPr>
      <t>東部</t>
    </r>
  </si>
  <si>
    <r>
      <rPr>
        <sz val="11"/>
        <color theme="1"/>
        <rFont val="新細明體"/>
        <family val="2"/>
      </rPr>
      <t>北部</t>
    </r>
  </si>
  <si>
    <r>
      <rPr>
        <sz val="11"/>
        <color theme="1"/>
        <rFont val="新細明體"/>
        <family val="2"/>
      </rPr>
      <t>總計</t>
    </r>
  </si>
  <si>
    <t>單號</t>
    <phoneticPr fontId="3" type="noConversion"/>
  </si>
  <si>
    <t>出貨部門</t>
    <phoneticPr fontId="3" type="noConversion"/>
  </si>
  <si>
    <t>電話</t>
    <phoneticPr fontId="3" type="noConversion"/>
  </si>
  <si>
    <t>Rory</t>
  </si>
  <si>
    <t>Rufus</t>
  </si>
  <si>
    <t>Reuel</t>
  </si>
  <si>
    <t>Ross</t>
  </si>
  <si>
    <t>Saul</t>
  </si>
  <si>
    <t>Morris</t>
  </si>
  <si>
    <t>Morgan</t>
  </si>
  <si>
    <t>Nat</t>
  </si>
  <si>
    <t>Napoleon</t>
  </si>
  <si>
    <t>Noah</t>
  </si>
  <si>
    <t>Neal</t>
  </si>
  <si>
    <t>Guy</t>
  </si>
  <si>
    <t>Humphry</t>
  </si>
  <si>
    <t>Harold</t>
  </si>
  <si>
    <t>Herbert</t>
  </si>
  <si>
    <t>Hubert</t>
  </si>
  <si>
    <t>Iris</t>
  </si>
  <si>
    <t>Juliana</t>
  </si>
  <si>
    <t>Janet</t>
  </si>
  <si>
    <t>Jackie</t>
  </si>
  <si>
    <t>Jeanie</t>
  </si>
  <si>
    <t>Jess</t>
  </si>
  <si>
    <t>Becky</t>
  </si>
  <si>
    <t>Beryl</t>
  </si>
  <si>
    <t>Rory@andyfruit.com</t>
  </si>
  <si>
    <t>Rufus@andyfruit.com</t>
  </si>
  <si>
    <t>Reuel@andyfruit.com</t>
  </si>
  <si>
    <t>Ross@andyfruit.com</t>
  </si>
  <si>
    <t>Saul@andyfruit.com</t>
  </si>
  <si>
    <t>Morris@andyfruit.com</t>
  </si>
  <si>
    <t>Morgan@andyfruit.com</t>
  </si>
  <si>
    <t>Nat@andyfruit.com</t>
  </si>
  <si>
    <t>Napoleon@andyfruit.com</t>
  </si>
  <si>
    <t>Noah@andyfruit.com</t>
  </si>
  <si>
    <t>Neal@andyfruit.com</t>
  </si>
  <si>
    <t>Guy@andyfruit.com</t>
  </si>
  <si>
    <t>Humphry@andyfruit.com</t>
  </si>
  <si>
    <t>Harold@andyfruit.com</t>
  </si>
  <si>
    <t>Herbert@andyfruit.com</t>
  </si>
  <si>
    <t>Hubert@andyfruit.com</t>
  </si>
  <si>
    <t>Iris@andyfruit.com</t>
  </si>
  <si>
    <t>Juliana@andyfruit.com</t>
  </si>
  <si>
    <t>Janet@andyfruit.com</t>
  </si>
  <si>
    <t>Jackie@andyfruit.com</t>
  </si>
  <si>
    <t>Jeanie@andyfruit.com</t>
  </si>
  <si>
    <t>Jess@andyfruit.com</t>
  </si>
  <si>
    <t>Becky@andyfruit.com</t>
  </si>
  <si>
    <t>Beryl@andyfruit.com</t>
  </si>
  <si>
    <t>Alex</t>
  </si>
  <si>
    <t>Cecilia</t>
  </si>
  <si>
    <t>Derek</t>
  </si>
  <si>
    <t>Dale</t>
  </si>
  <si>
    <t>(333) 55-005</t>
    <phoneticPr fontId="3" type="noConversion"/>
  </si>
  <si>
    <t>(580) 55-733</t>
    <phoneticPr fontId="3" type="noConversion"/>
  </si>
  <si>
    <t>(320) 55-221</t>
    <phoneticPr fontId="3" type="noConversion"/>
  </si>
  <si>
    <t>(223) 55-650</t>
    <phoneticPr fontId="3" type="noConversion"/>
  </si>
  <si>
    <r>
      <rPr>
        <b/>
        <sz val="11"/>
        <color theme="1"/>
        <rFont val="新細明體"/>
        <family val="2"/>
      </rPr>
      <t>連絡</t>
    </r>
    <r>
      <rPr>
        <b/>
        <sz val="11"/>
        <color theme="1"/>
        <rFont val="新細明體"/>
        <family val="2"/>
        <charset val="136"/>
      </rPr>
      <t>電話</t>
    </r>
    <phoneticPr fontId="3" type="noConversion"/>
  </si>
  <si>
    <t>區域</t>
    <phoneticPr fontId="3" type="noConversion"/>
  </si>
  <si>
    <t>主管</t>
    <phoneticPr fontId="3" type="noConversion"/>
  </si>
  <si>
    <r>
      <rPr>
        <b/>
        <sz val="14"/>
        <color theme="1"/>
        <rFont val="新細明體"/>
        <family val="2"/>
        <charset val="136"/>
      </rPr>
      <t>職員</t>
    </r>
    <r>
      <rPr>
        <b/>
        <sz val="14"/>
        <color theme="1"/>
        <rFont val="Century Gothic"/>
        <family val="2"/>
      </rPr>
      <t xml:space="preserve"> (</t>
    </r>
    <r>
      <rPr>
        <b/>
        <sz val="14"/>
        <color theme="1"/>
        <rFont val="新細明體"/>
        <family val="2"/>
      </rPr>
      <t>依地</t>
    </r>
    <r>
      <rPr>
        <b/>
        <sz val="14"/>
        <color theme="1"/>
        <rFont val="新細明體"/>
        <family val="2"/>
        <charset val="136"/>
      </rPr>
      <t>點</t>
    </r>
    <r>
      <rPr>
        <b/>
        <sz val="14"/>
        <color theme="1"/>
        <rFont val="新細明體"/>
        <family val="2"/>
      </rPr>
      <t>分類</t>
    </r>
    <r>
      <rPr>
        <b/>
        <sz val="14"/>
        <color theme="1"/>
        <rFont val="Century Gothic"/>
        <family val="2"/>
      </rPr>
      <t>)</t>
    </r>
    <phoneticPr fontId="3" type="noConversion"/>
  </si>
  <si>
    <r>
      <t>Andy</t>
    </r>
    <r>
      <rPr>
        <b/>
        <sz val="16"/>
        <color theme="1"/>
        <rFont val="新細明體"/>
        <family val="2"/>
        <charset val="136"/>
      </rPr>
      <t>水果行</t>
    </r>
    <phoneticPr fontId="3" type="noConversion"/>
  </si>
  <si>
    <r>
      <rPr>
        <b/>
        <sz val="11"/>
        <rFont val="新細明體"/>
        <family val="2"/>
        <charset val="136"/>
      </rPr>
      <t>第一季</t>
    </r>
    <r>
      <rPr>
        <b/>
        <sz val="11"/>
        <rFont val="新細明體"/>
        <family val="2"/>
      </rPr>
      <t>銷售額</t>
    </r>
    <phoneticPr fontId="3" type="noConversion"/>
  </si>
  <si>
    <r>
      <rPr>
        <b/>
        <sz val="11"/>
        <rFont val="新細明體"/>
        <family val="2"/>
        <charset val="136"/>
      </rPr>
      <t>第二季</t>
    </r>
    <r>
      <rPr>
        <b/>
        <sz val="11"/>
        <rFont val="新細明體"/>
        <family val="2"/>
      </rPr>
      <t>銷售額</t>
    </r>
    <phoneticPr fontId="3" type="noConversion"/>
  </si>
  <si>
    <r>
      <rPr>
        <b/>
        <sz val="11"/>
        <rFont val="新細明體"/>
        <family val="2"/>
      </rPr>
      <t>第三</t>
    </r>
    <r>
      <rPr>
        <b/>
        <sz val="11"/>
        <rFont val="新細明體"/>
        <family val="2"/>
        <charset val="136"/>
      </rPr>
      <t>季</t>
    </r>
    <r>
      <rPr>
        <b/>
        <sz val="11"/>
        <rFont val="新細明體"/>
        <family val="2"/>
      </rPr>
      <t xml:space="preserve">
預估額</t>
    </r>
    <phoneticPr fontId="3" type="noConversion"/>
  </si>
  <si>
    <r>
      <rPr>
        <b/>
        <sz val="11"/>
        <rFont val="新細明體"/>
        <family val="2"/>
      </rPr>
      <t>第四</t>
    </r>
    <r>
      <rPr>
        <b/>
        <sz val="11"/>
        <rFont val="新細明體"/>
        <family val="2"/>
        <charset val="136"/>
      </rPr>
      <t>季</t>
    </r>
    <r>
      <rPr>
        <b/>
        <sz val="11"/>
        <rFont val="新細明體"/>
        <family val="2"/>
      </rPr>
      <t xml:space="preserve">
預估額</t>
    </r>
    <phoneticPr fontId="3" type="noConversion"/>
  </si>
  <si>
    <r>
      <rPr>
        <b/>
        <sz val="14"/>
        <color theme="1"/>
        <rFont val="新細明體"/>
        <family val="2"/>
      </rPr>
      <t>總銷售額</t>
    </r>
    <r>
      <rPr>
        <b/>
        <sz val="14"/>
        <color theme="1"/>
        <rFont val="Century Gothic"/>
        <family val="2"/>
      </rPr>
      <t xml:space="preserve"> (</t>
    </r>
    <r>
      <rPr>
        <b/>
        <sz val="14"/>
        <color theme="1"/>
        <rFont val="新細明體"/>
        <family val="2"/>
      </rPr>
      <t>依地</t>
    </r>
    <r>
      <rPr>
        <b/>
        <sz val="14"/>
        <color theme="1"/>
        <rFont val="新細明體"/>
        <family val="2"/>
        <charset val="136"/>
      </rPr>
      <t>點</t>
    </r>
    <r>
      <rPr>
        <b/>
        <sz val="14"/>
        <color theme="1"/>
        <rFont val="新細明體"/>
        <family val="2"/>
      </rPr>
      <t>分類</t>
    </r>
    <r>
      <rPr>
        <b/>
        <sz val="14"/>
        <color theme="1"/>
        <rFont val="Century Gothic"/>
        <family val="2"/>
      </rPr>
      <t>)</t>
    </r>
    <phoneticPr fontId="3" type="noConversion"/>
  </si>
  <si>
    <t>總計</t>
  </si>
  <si>
    <r>
      <t>Andy</t>
    </r>
    <r>
      <rPr>
        <b/>
        <sz val="16"/>
        <color theme="1"/>
        <rFont val="新細明體"/>
        <family val="2"/>
        <charset val="136"/>
      </rPr>
      <t>水果行</t>
    </r>
    <phoneticPr fontId="30" type="noConversion"/>
  </si>
  <si>
    <t>優惠方案</t>
    <phoneticPr fontId="30" type="noConversion"/>
  </si>
  <si>
    <t>春季優惠</t>
    <phoneticPr fontId="30" type="noConversion"/>
  </si>
  <si>
    <t>年節禮盒</t>
    <phoneticPr fontId="30" type="noConversion"/>
  </si>
  <si>
    <t>端午優惠</t>
    <phoneticPr fontId="30" type="noConversion"/>
  </si>
  <si>
    <t>中秋優惠</t>
    <phoneticPr fontId="30" type="noConversion"/>
  </si>
  <si>
    <t>祭祖禮盒</t>
    <phoneticPr fontId="30" type="noConversion"/>
  </si>
  <si>
    <t>已購買人數</t>
    <phoneticPr fontId="30" type="noConversion"/>
  </si>
  <si>
    <t>售價</t>
    <phoneticPr fontId="30" type="noConversion"/>
  </si>
  <si>
    <t>加總 - 已購買人數</t>
  </si>
  <si>
    <t>售價</t>
  </si>
  <si>
    <t>北區</t>
  </si>
  <si>
    <t>南區</t>
  </si>
  <si>
    <t>東區</t>
  </si>
  <si>
    <t>西區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</si>
</sst>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76" formatCode="_(* #,##0_);_(* \(#,##0\);_(* &quot;-&quot;??_);_(@_)"/>
  </numFmts>
  <fonts count="40" x14ac:knownFonts="1">
    <font>
      <sz val="11"/>
      <color theme="1"/>
      <name val="Century Gothic"/>
      <family val="2"/>
    </font>
    <font>
      <sz val="10"/>
      <color theme="1"/>
      <name val="新細明體"/>
      <family val="2"/>
      <scheme val="minor"/>
    </font>
    <font>
      <b/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theme="1"/>
      <name val="Century Gothic"/>
      <family val="2"/>
    </font>
    <font>
      <sz val="12"/>
      <color theme="1"/>
      <name val="Century Gothic"/>
      <family val="2"/>
    </font>
    <font>
      <sz val="11"/>
      <color theme="1"/>
      <name val="Century Gothic"/>
      <family val="2"/>
    </font>
    <font>
      <sz val="12"/>
      <color rgb="FF9C5700"/>
      <name val="Century Gothic"/>
      <family val="2"/>
    </font>
    <font>
      <b/>
      <sz val="12"/>
      <color theme="1"/>
      <name val="Century Gothic"/>
      <family val="2"/>
    </font>
    <font>
      <sz val="12"/>
      <color rgb="FF006100"/>
      <name val="Century Gothic"/>
      <family val="2"/>
    </font>
    <font>
      <b/>
      <sz val="12"/>
      <color rgb="FFFA7D00"/>
      <name val="Century Gothic"/>
      <family val="2"/>
    </font>
    <font>
      <sz val="12"/>
      <color rgb="FFFA7D00"/>
      <name val="Century Gothic"/>
      <family val="2"/>
    </font>
    <font>
      <i/>
      <sz val="12"/>
      <color rgb="FF7F7F7F"/>
      <name val="Century Gothic"/>
      <family val="2"/>
    </font>
    <font>
      <sz val="12"/>
      <color theme="0"/>
      <name val="Century Gothic"/>
      <family val="2"/>
    </font>
    <font>
      <sz val="18"/>
      <color theme="3"/>
      <name val="Century Gothic"/>
      <family val="2"/>
    </font>
    <font>
      <b/>
      <sz val="15"/>
      <color theme="3"/>
      <name val="Century Gothic"/>
      <family val="2"/>
    </font>
    <font>
      <b/>
      <sz val="13"/>
      <color theme="3"/>
      <name val="Century Gothic"/>
      <family val="2"/>
    </font>
    <font>
      <b/>
      <sz val="11"/>
      <color theme="3"/>
      <name val="Century Gothic"/>
      <family val="2"/>
    </font>
    <font>
      <sz val="12"/>
      <color rgb="FF3F3F76"/>
      <name val="Century Gothic"/>
      <family val="2"/>
    </font>
    <font>
      <b/>
      <sz val="12"/>
      <color rgb="FF3F3F3F"/>
      <name val="Century Gothic"/>
      <family val="2"/>
    </font>
    <font>
      <b/>
      <sz val="12"/>
      <color theme="0"/>
      <name val="Century Gothic"/>
      <family val="2"/>
    </font>
    <font>
      <sz val="12"/>
      <color rgb="FF9C0006"/>
      <name val="Century Gothic"/>
      <family val="2"/>
    </font>
    <font>
      <sz val="12"/>
      <color rgb="FFFF0000"/>
      <name val="Century Gothic"/>
      <family val="2"/>
    </font>
    <font>
      <b/>
      <sz val="16"/>
      <color theme="1"/>
      <name val="Century Gothic"/>
      <family val="2"/>
    </font>
    <font>
      <b/>
      <sz val="14"/>
      <color theme="1"/>
      <name val="Century Gothic"/>
      <family val="2"/>
    </font>
    <font>
      <b/>
      <sz val="14"/>
      <color theme="1"/>
      <name val="新細明體"/>
      <family val="2"/>
    </font>
    <font>
      <b/>
      <sz val="11"/>
      <name val="Century Gothic"/>
      <family val="2"/>
    </font>
    <font>
      <b/>
      <sz val="11"/>
      <name val="新細明體"/>
      <family val="2"/>
    </font>
    <font>
      <sz val="11"/>
      <color theme="1"/>
      <name val="新細明體"/>
      <family val="2"/>
    </font>
    <font>
      <b/>
      <sz val="11"/>
      <color theme="1"/>
      <name val="新細明體"/>
      <family val="2"/>
    </font>
    <font>
      <sz val="9"/>
      <name val="細明體"/>
      <family val="3"/>
      <charset val="136"/>
    </font>
    <font>
      <sz val="11"/>
      <color theme="1"/>
      <name val="細明體"/>
      <family val="2"/>
      <charset val="136"/>
    </font>
    <font>
      <b/>
      <sz val="16"/>
      <color theme="1"/>
      <name val="新細明體"/>
      <family val="2"/>
      <charset val="136"/>
    </font>
    <font>
      <b/>
      <sz val="14"/>
      <color theme="1"/>
      <name val="新細明體"/>
      <family val="2"/>
      <charset val="136"/>
    </font>
    <font>
      <b/>
      <sz val="11"/>
      <name val="細明體"/>
      <family val="2"/>
      <charset val="136"/>
    </font>
    <font>
      <b/>
      <sz val="14"/>
      <color theme="1"/>
      <name val="Century Gothic"/>
      <family val="2"/>
      <charset val="136"/>
    </font>
    <font>
      <b/>
      <sz val="11"/>
      <color theme="1"/>
      <name val="新細明體"/>
      <family val="2"/>
      <charset val="136"/>
    </font>
    <font>
      <sz val="11"/>
      <color theme="1"/>
      <name val="新細明體"/>
      <family val="2"/>
      <charset val="136"/>
    </font>
    <font>
      <b/>
      <sz val="11"/>
      <name val="新細明體"/>
      <family val="2"/>
      <charset val="136"/>
    </font>
    <font>
      <b/>
      <sz val="14"/>
      <color theme="1"/>
      <name val="細明體"/>
      <family val="2"/>
      <charset val="136"/>
    </font>
  </fonts>
  <fills count="34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8" tint="0.3999450666829432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8" tint="-0.249946592608417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0" fontId="17" fillId="0" borderId="1" applyNumberFormat="0" applyFill="0" applyAlignment="0" applyProtection="0"/>
    <xf numFmtId="43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21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8" fillId="8" borderId="8" applyNumberFormat="0" applyAlignment="0" applyProtection="0">
      <alignment vertical="center"/>
    </xf>
    <xf numFmtId="0" fontId="19" fillId="9" borderId="9" applyNumberFormat="0" applyAlignment="0" applyProtection="0">
      <alignment vertical="center"/>
    </xf>
    <xf numFmtId="0" fontId="10" fillId="9" borderId="8" applyNumberFormat="0" applyAlignment="0" applyProtection="0">
      <alignment vertical="center"/>
    </xf>
    <xf numFmtId="0" fontId="11" fillId="0" borderId="10" applyNumberFormat="0" applyFill="0" applyAlignment="0" applyProtection="0">
      <alignment vertical="center"/>
    </xf>
    <xf numFmtId="0" fontId="20" fillId="10" borderId="11" applyNumberForma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6" fillId="11" borderId="12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8" fillId="0" borderId="13" applyNumberFormat="0" applyFill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</cellStyleXfs>
  <cellXfs count="46">
    <xf numFmtId="0" fontId="0" fillId="0" borderId="0" xfId="0"/>
    <xf numFmtId="0" fontId="6" fillId="0" borderId="0" xfId="0" applyFont="1" applyAlignment="1">
      <alignment horizontal="center"/>
    </xf>
    <xf numFmtId="0" fontId="0" fillId="0" borderId="0" xfId="0"/>
    <xf numFmtId="0" fontId="0" fillId="0" borderId="0" xfId="0"/>
    <xf numFmtId="176" fontId="0" fillId="0" borderId="0" xfId="0" applyNumberFormat="1"/>
    <xf numFmtId="0" fontId="1" fillId="0" borderId="0" xfId="0" applyFont="1"/>
    <xf numFmtId="0" fontId="2" fillId="0" borderId="5" xfId="1" applyFont="1" applyBorder="1" applyAlignment="1">
      <alignment horizontal="left"/>
    </xf>
    <xf numFmtId="0" fontId="2" fillId="0" borderId="5" xfId="1" applyFont="1" applyBorder="1" applyAlignment="1">
      <alignment horizontal="center" wrapText="1"/>
    </xf>
    <xf numFmtId="0" fontId="0" fillId="0" borderId="0" xfId="0" pivotButton="1"/>
    <xf numFmtId="0" fontId="0" fillId="0" borderId="0" xfId="0" applyFont="1"/>
    <xf numFmtId="0" fontId="4" fillId="0" borderId="0" xfId="0" applyFont="1"/>
    <xf numFmtId="0" fontId="6" fillId="0" borderId="0" xfId="0" applyFont="1"/>
    <xf numFmtId="0" fontId="26" fillId="0" borderId="2" xfId="1" applyFont="1" applyBorder="1" applyAlignment="1">
      <alignment horizontal="left"/>
    </xf>
    <xf numFmtId="49" fontId="4" fillId="0" borderId="0" xfId="0" applyNumberFormat="1" applyFont="1"/>
    <xf numFmtId="49" fontId="6" fillId="0" borderId="0" xfId="0" applyNumberFormat="1" applyFont="1" applyAlignment="1">
      <alignment horizontal="center"/>
    </xf>
    <xf numFmtId="49" fontId="6" fillId="0" borderId="0" xfId="0" applyNumberFormat="1" applyFont="1"/>
    <xf numFmtId="0" fontId="6" fillId="0" borderId="0" xfId="0" applyFont="1" applyFill="1"/>
    <xf numFmtId="49" fontId="6" fillId="0" borderId="4" xfId="0" applyNumberFormat="1" applyFont="1" applyFill="1" applyBorder="1" applyAlignment="1">
      <alignment horizontal="center"/>
    </xf>
    <xf numFmtId="49" fontId="6" fillId="0" borderId="4" xfId="0" applyNumberFormat="1" applyFont="1" applyBorder="1" applyAlignment="1">
      <alignment horizontal="center"/>
    </xf>
    <xf numFmtId="49" fontId="6" fillId="0" borderId="4" xfId="0" applyNumberFormat="1" applyFont="1" applyBorder="1"/>
    <xf numFmtId="0" fontId="26" fillId="0" borderId="2" xfId="1" applyFont="1" applyBorder="1" applyAlignment="1">
      <alignment horizontal="left" wrapText="1"/>
    </xf>
    <xf numFmtId="0" fontId="6" fillId="0" borderId="3" xfId="0" applyFont="1" applyBorder="1"/>
    <xf numFmtId="42" fontId="6" fillId="0" borderId="0" xfId="5" applyFont="1" applyAlignment="1"/>
    <xf numFmtId="42" fontId="6" fillId="0" borderId="3" xfId="5" applyFont="1" applyBorder="1" applyAlignment="1"/>
    <xf numFmtId="41" fontId="0" fillId="0" borderId="0" xfId="3" applyFont="1" applyBorder="1" applyAlignment="1"/>
    <xf numFmtId="0" fontId="34" fillId="0" borderId="2" xfId="1" applyFont="1" applyBorder="1" applyAlignment="1">
      <alignment horizontal="center"/>
    </xf>
    <xf numFmtId="0" fontId="27" fillId="0" borderId="2" xfId="1" applyFont="1" applyBorder="1" applyAlignment="1">
      <alignment horizontal="left"/>
    </xf>
    <xf numFmtId="0" fontId="32" fillId="33" borderId="0" xfId="41" applyFont="1" applyFill="1" applyAlignment="1">
      <alignment horizontal="centerContinuous"/>
    </xf>
    <xf numFmtId="0" fontId="23" fillId="33" borderId="0" xfId="41" applyFont="1" applyFill="1" applyAlignment="1">
      <alignment horizontal="centerContinuous"/>
    </xf>
    <xf numFmtId="0" fontId="35" fillId="33" borderId="0" xfId="41" applyFont="1" applyFill="1" applyAlignment="1">
      <alignment horizontal="centerContinuous"/>
    </xf>
    <xf numFmtId="0" fontId="24" fillId="33" borderId="0" xfId="41" applyFont="1" applyFill="1" applyAlignment="1">
      <alignment horizontal="centerContinuous"/>
    </xf>
    <xf numFmtId="0" fontId="6" fillId="33" borderId="0" xfId="41" applyFont="1" applyFill="1" applyAlignment="1">
      <alignment horizontal="centerContinuous"/>
    </xf>
    <xf numFmtId="49" fontId="0" fillId="0" borderId="4" xfId="0" applyNumberFormat="1" applyFont="1" applyBorder="1"/>
    <xf numFmtId="0" fontId="29" fillId="33" borderId="0" xfId="41" applyFont="1" applyFill="1" applyAlignment="1">
      <alignment horizontal="centerContinuous"/>
    </xf>
    <xf numFmtId="0" fontId="37" fillId="33" borderId="4" xfId="41" applyFont="1" applyFill="1" applyBorder="1" applyAlignment="1"/>
    <xf numFmtId="0" fontId="31" fillId="33" borderId="4" xfId="41" applyFont="1" applyFill="1" applyBorder="1" applyAlignment="1"/>
    <xf numFmtId="0" fontId="28" fillId="33" borderId="4" xfId="41" applyFont="1" applyFill="1" applyBorder="1" applyAlignment="1"/>
    <xf numFmtId="0" fontId="34" fillId="0" borderId="2" xfId="1" applyFont="1" applyBorder="1" applyAlignment="1">
      <alignment horizontal="left"/>
    </xf>
    <xf numFmtId="0" fontId="38" fillId="0" borderId="2" xfId="1" applyFont="1" applyBorder="1" applyAlignment="1">
      <alignment horizontal="center" wrapText="1"/>
    </xf>
    <xf numFmtId="0" fontId="27" fillId="0" borderId="2" xfId="1" applyFont="1" applyBorder="1" applyAlignment="1">
      <alignment horizontal="center" wrapText="1"/>
    </xf>
    <xf numFmtId="0" fontId="0" fillId="0" borderId="0" xfId="0" applyNumberFormat="1"/>
    <xf numFmtId="0" fontId="0" fillId="0" borderId="0" xfId="0" applyAlignment="1">
      <alignment horizontal="center"/>
    </xf>
    <xf numFmtId="44" fontId="0" fillId="0" borderId="0" xfId="0" applyNumberFormat="1"/>
    <xf numFmtId="0" fontId="31" fillId="0" borderId="0" xfId="0" applyFont="1"/>
    <xf numFmtId="44" fontId="0" fillId="0" borderId="0" xfId="0" applyNumberFormat="1" applyAlignment="1">
      <alignment horizontal="left"/>
    </xf>
    <xf numFmtId="0" fontId="39" fillId="33" borderId="0" xfId="41" applyFont="1" applyFill="1" applyAlignment="1">
      <alignment horizontal="centerContinuous"/>
    </xf>
  </cellXfs>
  <cellStyles count="47">
    <cellStyle name="20% - 輔色1" xfId="24" builtinId="30" customBuiltin="1"/>
    <cellStyle name="20% - 輔色2" xfId="28" builtinId="34" customBuiltin="1"/>
    <cellStyle name="20% - 輔色3" xfId="32" builtinId="38" customBuiltin="1"/>
    <cellStyle name="20% - 輔色4" xfId="36" builtinId="42" customBuiltin="1"/>
    <cellStyle name="20% - 輔色5" xfId="40" builtinId="46" customBuiltin="1"/>
    <cellStyle name="20% - 輔色6" xfId="44" builtinId="50" customBuiltin="1"/>
    <cellStyle name="40% - 輔色1" xfId="25" builtinId="31" customBuiltin="1"/>
    <cellStyle name="40% - 輔色2" xfId="29" builtinId="35" customBuiltin="1"/>
    <cellStyle name="40% - 輔色3" xfId="33" builtinId="39" customBuiltin="1"/>
    <cellStyle name="40% - 輔色4" xfId="37" builtinId="43" customBuiltin="1"/>
    <cellStyle name="40% - 輔色5" xfId="41" builtinId="47" customBuiltin="1"/>
    <cellStyle name="40% - 輔色6" xfId="45" builtinId="51" customBuiltin="1"/>
    <cellStyle name="60% - 輔色1" xfId="26" builtinId="32" customBuiltin="1"/>
    <cellStyle name="60% - 輔色2" xfId="30" builtinId="36" customBuiltin="1"/>
    <cellStyle name="60% - 輔色3" xfId="34" builtinId="40" customBuiltin="1"/>
    <cellStyle name="60% - 輔色4" xfId="38" builtinId="44" customBuiltin="1"/>
    <cellStyle name="60% - 輔色5" xfId="42" builtinId="48" customBuiltin="1"/>
    <cellStyle name="60% - 輔色6" xfId="46" builtinId="52" customBuiltin="1"/>
    <cellStyle name="一般" xfId="0" builtinId="0" customBuiltin="1"/>
    <cellStyle name="千分位" xfId="2" builtinId="3" customBuiltin="1"/>
    <cellStyle name="千分位[0]" xfId="3" builtinId="6" customBuiltin="1"/>
    <cellStyle name="中等" xfId="13" builtinId="28" customBuiltin="1"/>
    <cellStyle name="合計" xfId="22" builtinId="25" customBuiltin="1"/>
    <cellStyle name="好" xfId="11" builtinId="26" customBuiltin="1"/>
    <cellStyle name="百分比" xfId="6" builtinId="5" customBuiltin="1"/>
    <cellStyle name="計算方式" xfId="16" builtinId="22" customBuiltin="1"/>
    <cellStyle name="貨幣" xfId="4" builtinId="4" customBuiltin="1"/>
    <cellStyle name="貨幣 [0]" xfId="5" builtinId="7" customBuiltin="1"/>
    <cellStyle name="連結的儲存格" xfId="17" builtinId="24" customBuiltin="1"/>
    <cellStyle name="備註" xfId="20" builtinId="10" customBuiltin="1"/>
    <cellStyle name="說明文字" xfId="21" builtinId="53" customBuiltin="1"/>
    <cellStyle name="輔色1" xfId="23" builtinId="29" customBuiltin="1"/>
    <cellStyle name="輔色2" xfId="27" builtinId="33" customBuiltin="1"/>
    <cellStyle name="輔色3" xfId="31" builtinId="37" customBuiltin="1"/>
    <cellStyle name="輔色4" xfId="35" builtinId="41" customBuiltin="1"/>
    <cellStyle name="輔色5" xfId="39" builtinId="45" customBuiltin="1"/>
    <cellStyle name="輔色6" xfId="43" builtinId="49" customBuiltin="1"/>
    <cellStyle name="標題" xfId="7" builtinId="15" customBuiltin="1"/>
    <cellStyle name="標題 1" xfId="8" builtinId="16" customBuiltin="1"/>
    <cellStyle name="標題 2" xfId="9" builtinId="17" customBuiltin="1"/>
    <cellStyle name="標題 3" xfId="1" builtinId="18" customBuiltin="1"/>
    <cellStyle name="標題 4" xfId="10" builtinId="19" customBuiltin="1"/>
    <cellStyle name="輸入" xfId="14" builtinId="20" customBuiltin="1"/>
    <cellStyle name="輸出" xfId="15" builtinId="21" customBuiltin="1"/>
    <cellStyle name="檢查儲存格" xfId="18" builtinId="23" customBuiltin="1"/>
    <cellStyle name="壞" xfId="12" builtinId="27" customBuiltin="1"/>
    <cellStyle name="警告文字" xfId="19" builtinId="11" customBuiltin="1"/>
  </cellStyles>
  <dxfs count="8">
    <dxf>
      <font>
        <strike val="0"/>
        <outline val="0"/>
        <shadow val="0"/>
        <u val="none"/>
        <vertAlign val="baseline"/>
        <sz val="11"/>
        <name val="Century Gothic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entury Gothic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name val="Century Gothic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entury Gothic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entury Gothic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entury Gothic"/>
        <family val="2"/>
        <scheme val="none"/>
      </font>
    </dxf>
    <dxf>
      <border outline="0">
        <bottom style="thick">
          <color theme="8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327.931489120368" createdVersion="7" refreshedVersion="7" minRefreshableVersion="3" recordCount="5" xr:uid="{EABA8A04-A4EB-4DB6-87FF-DA2DB7461437}">
  <cacheSource type="worksheet">
    <worksheetSource ref="A3:D8" sheet="優惠方案"/>
  </cacheSource>
  <cacheFields count="4">
    <cacheField name="方案編號" numFmtId="0">
      <sharedItems containsSemiMixedTypes="0" containsString="0" containsNumber="1" containsInteger="1" minValue="1" maxValue="5"/>
    </cacheField>
    <cacheField name="方案" numFmtId="0">
      <sharedItems count="5">
        <s v="年節禮盒"/>
        <s v="春季優惠"/>
        <s v="端午優惠"/>
        <s v="中秋優惠"/>
        <s v="祭祖禮盒"/>
      </sharedItems>
    </cacheField>
    <cacheField name="售價" numFmtId="44">
      <sharedItems containsSemiMixedTypes="0" containsString="0" containsNumber="1" containsInteger="1" minValue="180" maxValue="380" count="5">
        <n v="380"/>
        <n v="180"/>
        <n v="260"/>
        <n v="240"/>
        <n v="280"/>
      </sharedItems>
    </cacheField>
    <cacheField name="已購買人數" numFmtId="41">
      <sharedItems containsSemiMixedTypes="0" containsString="0" containsNumber="1" containsInteger="1" minValue="3499" maxValue="340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1"/>
    <x v="0"/>
    <x v="0"/>
    <n v="34012"/>
  </r>
  <r>
    <n v="2"/>
    <x v="1"/>
    <x v="1"/>
    <n v="4300"/>
  </r>
  <r>
    <n v="3"/>
    <x v="2"/>
    <x v="2"/>
    <n v="5238"/>
  </r>
  <r>
    <n v="4"/>
    <x v="3"/>
    <x v="3"/>
    <n v="8999"/>
  </r>
  <r>
    <n v="5"/>
    <x v="4"/>
    <x v="4"/>
    <n v="34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70FB3-DD81-49BF-A79D-E226E279A505}" name="樞紐分析表3" cacheId="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 rowHeaderCaption="售價">
  <location ref="A3:B9" firstHeaderRow="1" firstDataRow="1" firstDataCol="1" rowPageCount="1" colPageCount="1"/>
  <pivotFields count="4">
    <pivotField showAll="0"/>
    <pivotField axis="axisPage" showAll="0">
      <items count="6">
        <item x="3"/>
        <item x="0"/>
        <item x="1"/>
        <item x="4"/>
        <item x="2"/>
        <item t="default"/>
      </items>
    </pivotField>
    <pivotField axis="axisRow" numFmtId="44" showAll="0">
      <items count="6">
        <item x="1"/>
        <item x="3"/>
        <item x="2"/>
        <item x="4"/>
        <item x="0"/>
        <item t="default"/>
      </items>
    </pivotField>
    <pivotField dataField="1" numFmtId="41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1" hier="-1"/>
  </pageFields>
  <dataFields count="1">
    <dataField name="加總 - 已購買人數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7D8BA7-7A68-4D96-B02D-EF853D9DCF07}" name="表1" displayName="表1" ref="A3:E27" totalsRowShown="0" headerRowDxfId="7" dataDxfId="5" headerRowBorderDxfId="6">
  <sortState xmlns:xlrd2="http://schemas.microsoft.com/office/spreadsheetml/2017/richdata2" ref="A4:E27">
    <sortCondition ref="D3:D27"/>
  </sortState>
  <tableColumns count="5">
    <tableColumn id="1" xr3:uid="{41AD21BD-D4F3-4C27-B444-DCA5DFFABE13}" name="單號" dataDxfId="4"/>
    <tableColumn id="2" xr3:uid="{39B3914F-70D6-406F-9E29-CFB0C54FBFF7}" name="區域" dataDxfId="3"/>
    <tableColumn id="3" xr3:uid="{63C2AF53-E663-40E7-924D-699A62688E1B}" name="電話" dataDxfId="2"/>
    <tableColumn id="5" xr3:uid="{A40733CF-BDC0-4E86-9A6D-C22BD327F651}" name="名字" dataDxfId="1"/>
    <tableColumn id="7" xr3:uid="{8C15544D-78FB-4129-A89E-75368D565614}" name="電子郵件" dataDxfId="0"/>
  </tableColumns>
  <tableStyleInfo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 Boardroom">
  <a:themeElements>
    <a:clrScheme name="Violet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Ion Boardroom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 Boardroom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09B58-14CF-47FA-984C-DC44AB669C50}">
  <sheetPr codeName="工作表1"/>
  <dimension ref="A1:K33"/>
  <sheetViews>
    <sheetView zoomScale="70" zoomScaleNormal="70" workbookViewId="0"/>
  </sheetViews>
  <sheetFormatPr defaultColWidth="9" defaultRowHeight="14" x14ac:dyDescent="0.4"/>
  <cols>
    <col min="1" max="1" width="6" style="11" customWidth="1"/>
    <col min="2" max="2" width="9.21875" style="11" customWidth="1"/>
    <col min="3" max="3" width="14.5" style="11" customWidth="1"/>
    <col min="4" max="4" width="14.21875" style="11" bestFit="1" customWidth="1"/>
    <col min="5" max="5" width="34.38671875" style="11" bestFit="1" customWidth="1"/>
    <col min="6" max="6" width="9" style="11"/>
    <col min="7" max="7" width="16.21875" style="11" customWidth="1"/>
    <col min="8" max="8" width="14.609375" style="11" bestFit="1" customWidth="1"/>
    <col min="9" max="9" width="16.609375" style="11" bestFit="1" customWidth="1"/>
    <col min="10" max="11" width="14.21875" style="11" customWidth="1"/>
    <col min="12" max="16384" width="9" style="11"/>
  </cols>
  <sheetData>
    <row r="1" spans="1:11" ht="22.35" x14ac:dyDescent="0.75">
      <c r="A1" s="27" t="s">
        <v>13</v>
      </c>
      <c r="B1" s="28"/>
      <c r="C1" s="28"/>
      <c r="D1" s="28"/>
      <c r="E1" s="28"/>
      <c r="F1" s="10"/>
      <c r="G1" s="33" t="s">
        <v>71</v>
      </c>
      <c r="H1" s="31"/>
      <c r="I1" s="31"/>
      <c r="J1" s="31"/>
      <c r="K1" s="31"/>
    </row>
    <row r="2" spans="1:11" ht="19.5" customHeight="1" x14ac:dyDescent="0.6">
      <c r="A2" s="29" t="s">
        <v>74</v>
      </c>
      <c r="B2" s="30"/>
      <c r="C2" s="30"/>
      <c r="D2" s="30"/>
      <c r="E2" s="30"/>
      <c r="F2" s="10"/>
      <c r="G2" s="34" t="s">
        <v>72</v>
      </c>
      <c r="H2" s="17" t="s">
        <v>93</v>
      </c>
      <c r="I2" s="17" t="s">
        <v>94</v>
      </c>
      <c r="J2" s="18" t="s">
        <v>95</v>
      </c>
      <c r="K2" s="17" t="s">
        <v>96</v>
      </c>
    </row>
    <row r="3" spans="1:11" ht="17.25" customHeight="1" thickBot="1" x14ac:dyDescent="0.6">
      <c r="A3" s="25" t="s">
        <v>12</v>
      </c>
      <c r="B3" s="37" t="s">
        <v>72</v>
      </c>
      <c r="C3" s="26" t="s">
        <v>14</v>
      </c>
      <c r="D3" s="12" t="s">
        <v>5</v>
      </c>
      <c r="E3" s="12" t="s">
        <v>6</v>
      </c>
      <c r="F3" s="10"/>
      <c r="G3" s="35" t="s">
        <v>73</v>
      </c>
      <c r="H3" s="19" t="s">
        <v>63</v>
      </c>
      <c r="I3" s="19" t="s">
        <v>64</v>
      </c>
      <c r="J3" s="19" t="s">
        <v>65</v>
      </c>
      <c r="K3" s="19" t="s">
        <v>66</v>
      </c>
    </row>
    <row r="4" spans="1:11" ht="16" thickTop="1" x14ac:dyDescent="0.55000000000000004">
      <c r="A4" s="1">
        <v>12345</v>
      </c>
      <c r="B4" s="14" t="s">
        <v>95</v>
      </c>
      <c r="D4" s="15" t="s">
        <v>37</v>
      </c>
      <c r="E4" s="16" t="s">
        <v>61</v>
      </c>
      <c r="F4" s="10"/>
      <c r="G4" s="36" t="s">
        <v>14</v>
      </c>
      <c r="H4" s="32" t="s">
        <v>67</v>
      </c>
      <c r="I4" s="32" t="s">
        <v>68</v>
      </c>
      <c r="J4" s="32" t="s">
        <v>69</v>
      </c>
      <c r="K4" s="32" t="s">
        <v>70</v>
      </c>
    </row>
    <row r="5" spans="1:11" x14ac:dyDescent="0.4">
      <c r="A5" s="1">
        <v>12346</v>
      </c>
      <c r="B5" s="14" t="s">
        <v>93</v>
      </c>
      <c r="D5" s="15" t="s">
        <v>38</v>
      </c>
      <c r="E5" s="16" t="s">
        <v>62</v>
      </c>
      <c r="F5" s="10"/>
      <c r="G5" s="10"/>
      <c r="H5" s="10"/>
      <c r="I5" s="10"/>
      <c r="J5" s="10"/>
      <c r="K5" s="10"/>
    </row>
    <row r="6" spans="1:11" x14ac:dyDescent="0.4">
      <c r="A6" s="1">
        <v>12347</v>
      </c>
      <c r="B6" s="14" t="s">
        <v>93</v>
      </c>
      <c r="D6" s="15" t="s">
        <v>26</v>
      </c>
      <c r="E6" s="16" t="s">
        <v>50</v>
      </c>
      <c r="F6" s="10"/>
      <c r="G6" s="10"/>
      <c r="H6" s="10"/>
      <c r="I6" s="10"/>
      <c r="J6" s="10"/>
      <c r="K6" s="10"/>
    </row>
    <row r="7" spans="1:11" x14ac:dyDescent="0.4">
      <c r="A7" s="1">
        <v>12348</v>
      </c>
      <c r="B7" s="14" t="s">
        <v>95</v>
      </c>
      <c r="D7" s="15" t="s">
        <v>28</v>
      </c>
      <c r="E7" s="16" t="s">
        <v>52</v>
      </c>
      <c r="F7" s="10"/>
      <c r="G7" s="10"/>
      <c r="H7" s="10"/>
      <c r="I7" s="10"/>
      <c r="J7" s="10"/>
      <c r="K7" s="10"/>
    </row>
    <row r="8" spans="1:11" x14ac:dyDescent="0.4">
      <c r="A8" s="1">
        <v>12349</v>
      </c>
      <c r="B8" s="14" t="s">
        <v>93</v>
      </c>
      <c r="D8" s="15" t="s">
        <v>29</v>
      </c>
      <c r="E8" s="16" t="s">
        <v>53</v>
      </c>
      <c r="F8" s="10"/>
      <c r="G8" s="10"/>
      <c r="H8" s="10"/>
      <c r="I8" s="10"/>
      <c r="J8" s="10"/>
      <c r="K8" s="10"/>
    </row>
    <row r="9" spans="1:11" x14ac:dyDescent="0.4">
      <c r="A9" s="1">
        <v>12350</v>
      </c>
      <c r="B9" s="14" t="s">
        <v>93</v>
      </c>
      <c r="D9" s="15" t="s">
        <v>30</v>
      </c>
      <c r="E9" s="16" t="s">
        <v>54</v>
      </c>
      <c r="F9" s="10"/>
      <c r="G9" s="10"/>
      <c r="H9" s="10"/>
      <c r="I9" s="10"/>
      <c r="J9" s="10"/>
      <c r="K9" s="10"/>
    </row>
    <row r="10" spans="1:11" x14ac:dyDescent="0.4">
      <c r="A10" s="1">
        <v>12351</v>
      </c>
      <c r="B10" s="14" t="s">
        <v>96</v>
      </c>
      <c r="D10" s="15" t="s">
        <v>27</v>
      </c>
      <c r="E10" s="16" t="s">
        <v>51</v>
      </c>
      <c r="F10" s="10"/>
      <c r="G10" s="10"/>
      <c r="H10" s="10"/>
      <c r="I10" s="10"/>
      <c r="J10" s="10"/>
      <c r="K10" s="10"/>
    </row>
    <row r="11" spans="1:11" x14ac:dyDescent="0.4">
      <c r="A11" s="1">
        <v>12352</v>
      </c>
      <c r="B11" s="14" t="s">
        <v>94</v>
      </c>
      <c r="D11" s="15" t="s">
        <v>31</v>
      </c>
      <c r="E11" s="16" t="s">
        <v>55</v>
      </c>
      <c r="F11" s="10"/>
      <c r="G11" s="10"/>
      <c r="H11" s="13"/>
      <c r="I11" s="10"/>
      <c r="J11" s="10"/>
      <c r="K11" s="10"/>
    </row>
    <row r="12" spans="1:11" x14ac:dyDescent="0.4">
      <c r="A12" s="1">
        <v>12353</v>
      </c>
      <c r="B12" s="14" t="s">
        <v>93</v>
      </c>
      <c r="D12" s="15" t="s">
        <v>34</v>
      </c>
      <c r="E12" s="16" t="s">
        <v>58</v>
      </c>
      <c r="F12" s="10"/>
      <c r="G12" s="10"/>
      <c r="H12" s="13"/>
      <c r="I12" s="10"/>
      <c r="J12" s="10"/>
      <c r="K12" s="10"/>
    </row>
    <row r="13" spans="1:11" x14ac:dyDescent="0.4">
      <c r="A13" s="1">
        <v>12354</v>
      </c>
      <c r="B13" s="14" t="s">
        <v>93</v>
      </c>
      <c r="D13" s="15" t="s">
        <v>33</v>
      </c>
      <c r="E13" s="16" t="s">
        <v>57</v>
      </c>
      <c r="F13" s="10"/>
      <c r="G13" s="10"/>
      <c r="H13" s="13"/>
      <c r="I13" s="10"/>
      <c r="J13" s="10"/>
      <c r="K13" s="10"/>
    </row>
    <row r="14" spans="1:11" x14ac:dyDescent="0.4">
      <c r="A14" s="1">
        <v>12355</v>
      </c>
      <c r="B14" s="14" t="s">
        <v>93</v>
      </c>
      <c r="D14" s="15" t="s">
        <v>35</v>
      </c>
      <c r="E14" s="16" t="s">
        <v>59</v>
      </c>
      <c r="F14" s="10"/>
      <c r="G14" s="10"/>
      <c r="H14" s="13"/>
      <c r="I14" s="10"/>
      <c r="J14" s="10"/>
      <c r="K14" s="10"/>
    </row>
    <row r="15" spans="1:11" x14ac:dyDescent="0.4">
      <c r="A15" s="1">
        <v>12356</v>
      </c>
      <c r="B15" s="14" t="s">
        <v>93</v>
      </c>
      <c r="D15" s="15" t="s">
        <v>36</v>
      </c>
      <c r="E15" s="16" t="s">
        <v>60</v>
      </c>
      <c r="F15" s="10"/>
      <c r="G15" s="10"/>
      <c r="H15" s="13"/>
      <c r="I15" s="10"/>
      <c r="J15" s="10"/>
      <c r="K15" s="10"/>
    </row>
    <row r="16" spans="1:11" x14ac:dyDescent="0.4">
      <c r="A16" s="1">
        <v>12357</v>
      </c>
      <c r="B16" s="14" t="s">
        <v>93</v>
      </c>
      <c r="D16" s="15" t="s">
        <v>32</v>
      </c>
      <c r="E16" s="16" t="s">
        <v>56</v>
      </c>
      <c r="F16" s="10"/>
      <c r="G16" s="10"/>
      <c r="H16" s="13"/>
      <c r="I16" s="10"/>
      <c r="J16" s="10"/>
      <c r="K16" s="10"/>
    </row>
    <row r="17" spans="1:9" x14ac:dyDescent="0.4">
      <c r="A17" s="1">
        <v>12358</v>
      </c>
      <c r="B17" s="14" t="s">
        <v>93</v>
      </c>
      <c r="D17" s="15" t="s">
        <v>21</v>
      </c>
      <c r="E17" s="16" t="s">
        <v>45</v>
      </c>
      <c r="H17" s="13"/>
      <c r="I17" s="10"/>
    </row>
    <row r="18" spans="1:9" x14ac:dyDescent="0.4">
      <c r="A18" s="1">
        <v>12359</v>
      </c>
      <c r="B18" s="14" t="s">
        <v>93</v>
      </c>
      <c r="D18" s="15" t="s">
        <v>20</v>
      </c>
      <c r="E18" s="16" t="s">
        <v>44</v>
      </c>
      <c r="H18" s="13"/>
      <c r="I18" s="10"/>
    </row>
    <row r="19" spans="1:9" x14ac:dyDescent="0.4">
      <c r="A19" s="1">
        <v>12360</v>
      </c>
      <c r="B19" s="14" t="s">
        <v>93</v>
      </c>
      <c r="D19" s="15" t="s">
        <v>23</v>
      </c>
      <c r="E19" s="16" t="s">
        <v>47</v>
      </c>
      <c r="H19" s="13"/>
      <c r="I19" s="10"/>
    </row>
    <row r="20" spans="1:9" x14ac:dyDescent="0.4">
      <c r="A20" s="1">
        <v>12361</v>
      </c>
      <c r="B20" s="14" t="s">
        <v>96</v>
      </c>
      <c r="D20" s="15" t="s">
        <v>22</v>
      </c>
      <c r="E20" s="16" t="s">
        <v>46</v>
      </c>
      <c r="H20" s="13"/>
      <c r="I20" s="10"/>
    </row>
    <row r="21" spans="1:9" x14ac:dyDescent="0.4">
      <c r="A21" s="1">
        <v>12362</v>
      </c>
      <c r="B21" s="14" t="s">
        <v>93</v>
      </c>
      <c r="D21" s="15" t="s">
        <v>25</v>
      </c>
      <c r="E21" s="16" t="s">
        <v>49</v>
      </c>
      <c r="H21" s="13"/>
      <c r="I21" s="10"/>
    </row>
    <row r="22" spans="1:9" x14ac:dyDescent="0.4">
      <c r="A22" s="1">
        <v>12363</v>
      </c>
      <c r="B22" s="14" t="s">
        <v>94</v>
      </c>
      <c r="D22" s="15" t="s">
        <v>24</v>
      </c>
      <c r="E22" s="16" t="s">
        <v>48</v>
      </c>
      <c r="H22" s="13"/>
      <c r="I22" s="10"/>
    </row>
    <row r="23" spans="1:9" x14ac:dyDescent="0.4">
      <c r="A23" s="1">
        <v>12364</v>
      </c>
      <c r="B23" s="14" t="s">
        <v>95</v>
      </c>
      <c r="D23" s="15" t="s">
        <v>17</v>
      </c>
      <c r="E23" s="16" t="s">
        <v>41</v>
      </c>
      <c r="H23" s="13"/>
      <c r="I23" s="10"/>
    </row>
    <row r="24" spans="1:9" x14ac:dyDescent="0.4">
      <c r="A24" s="1">
        <v>12365</v>
      </c>
      <c r="B24" s="14" t="s">
        <v>96</v>
      </c>
      <c r="D24" s="15" t="s">
        <v>15</v>
      </c>
      <c r="E24" s="16" t="s">
        <v>39</v>
      </c>
      <c r="H24" s="13"/>
      <c r="I24" s="10"/>
    </row>
    <row r="25" spans="1:9" x14ac:dyDescent="0.4">
      <c r="A25" s="1">
        <v>12366</v>
      </c>
      <c r="B25" s="14" t="s">
        <v>93</v>
      </c>
      <c r="D25" s="15" t="s">
        <v>18</v>
      </c>
      <c r="E25" s="16" t="s">
        <v>42</v>
      </c>
      <c r="H25" s="13"/>
      <c r="I25" s="10"/>
    </row>
    <row r="26" spans="1:9" x14ac:dyDescent="0.4">
      <c r="A26" s="1">
        <v>12367</v>
      </c>
      <c r="B26" s="14" t="s">
        <v>94</v>
      </c>
      <c r="D26" s="15" t="s">
        <v>16</v>
      </c>
      <c r="E26" s="16" t="s">
        <v>40</v>
      </c>
      <c r="H26" s="13"/>
      <c r="I26" s="10"/>
    </row>
    <row r="27" spans="1:9" x14ac:dyDescent="0.4">
      <c r="A27" s="1">
        <v>12368</v>
      </c>
      <c r="B27" s="14" t="s">
        <v>96</v>
      </c>
      <c r="D27" s="15" t="s">
        <v>19</v>
      </c>
      <c r="E27" s="16" t="s">
        <v>43</v>
      </c>
      <c r="H27" s="13"/>
      <c r="I27" s="10"/>
    </row>
    <row r="28" spans="1:9" x14ac:dyDescent="0.4">
      <c r="H28" s="13"/>
      <c r="I28" s="10"/>
    </row>
    <row r="29" spans="1:9" x14ac:dyDescent="0.4">
      <c r="H29" s="13"/>
      <c r="I29" s="10"/>
    </row>
    <row r="30" spans="1:9" x14ac:dyDescent="0.4">
      <c r="H30" s="13"/>
      <c r="I30" s="10"/>
    </row>
    <row r="31" spans="1:9" x14ac:dyDescent="0.4">
      <c r="H31" s="13"/>
      <c r="I31" s="10"/>
    </row>
    <row r="32" spans="1:9" x14ac:dyDescent="0.4">
      <c r="H32" s="13"/>
      <c r="I32" s="10"/>
    </row>
    <row r="33" spans="8:9" x14ac:dyDescent="0.4">
      <c r="H33" s="13"/>
      <c r="I33" s="10"/>
    </row>
  </sheetData>
  <phoneticPr fontId="3" type="noConversion"/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C300F-0B0A-4D3F-BF83-B99A6C5FF992}">
  <sheetPr codeName="工作表2"/>
  <dimension ref="A1:F9"/>
  <sheetViews>
    <sheetView tabSelected="1" zoomScaleNormal="100" workbookViewId="0">
      <selection activeCell="B4" sqref="B4:C7"/>
    </sheetView>
  </sheetViews>
  <sheetFormatPr defaultRowHeight="14" x14ac:dyDescent="0.4"/>
  <cols>
    <col min="2" max="3" width="15.71875" customWidth="1"/>
    <col min="4" max="5" width="13.5" customWidth="1"/>
  </cols>
  <sheetData>
    <row r="1" spans="1:6" ht="22.35" x14ac:dyDescent="0.75">
      <c r="A1" s="28" t="s">
        <v>75</v>
      </c>
      <c r="B1" s="28"/>
      <c r="C1" s="28"/>
      <c r="D1" s="28"/>
      <c r="E1" s="28"/>
    </row>
    <row r="2" spans="1:6" ht="19" x14ac:dyDescent="0.6">
      <c r="A2" s="30" t="s">
        <v>80</v>
      </c>
      <c r="B2" s="30"/>
      <c r="C2" s="30"/>
      <c r="D2" s="30"/>
      <c r="E2" s="30"/>
    </row>
    <row r="3" spans="1:6" ht="31.7" thickBot="1" x14ac:dyDescent="0.6">
      <c r="A3" s="20" t="s">
        <v>4</v>
      </c>
      <c r="B3" s="38" t="s">
        <v>76</v>
      </c>
      <c r="C3" s="38" t="s">
        <v>77</v>
      </c>
      <c r="D3" s="39" t="s">
        <v>78</v>
      </c>
      <c r="E3" s="39" t="s">
        <v>79</v>
      </c>
      <c r="F3" s="9"/>
    </row>
    <row r="4" spans="1:6" ht="16" thickTop="1" x14ac:dyDescent="0.55000000000000004">
      <c r="A4" s="11" t="s">
        <v>10</v>
      </c>
      <c r="B4" s="22">
        <v>280000</v>
      </c>
      <c r="C4" s="22">
        <v>320000</v>
      </c>
      <c r="D4" s="22"/>
      <c r="E4" s="22"/>
    </row>
    <row r="5" spans="1:6" ht="15.7" x14ac:dyDescent="0.55000000000000004">
      <c r="A5" s="11" t="s">
        <v>9</v>
      </c>
      <c r="B5" s="22">
        <v>120000</v>
      </c>
      <c r="C5" s="22">
        <v>160000</v>
      </c>
      <c r="D5" s="22"/>
      <c r="E5" s="22"/>
    </row>
    <row r="6" spans="1:6" ht="15.7" x14ac:dyDescent="0.55000000000000004">
      <c r="A6" s="11" t="s">
        <v>7</v>
      </c>
      <c r="B6" s="22">
        <v>230000</v>
      </c>
      <c r="C6" s="22">
        <v>270000</v>
      </c>
      <c r="D6" s="22"/>
      <c r="E6" s="22"/>
    </row>
    <row r="7" spans="1:6" ht="15.7" x14ac:dyDescent="0.55000000000000004">
      <c r="A7" s="11" t="s">
        <v>8</v>
      </c>
      <c r="B7" s="22">
        <v>250000</v>
      </c>
      <c r="C7" s="22">
        <v>290000</v>
      </c>
      <c r="D7" s="22"/>
      <c r="E7" s="22"/>
    </row>
    <row r="8" spans="1:6" ht="16" thickBot="1" x14ac:dyDescent="0.6">
      <c r="A8" s="21" t="s">
        <v>11</v>
      </c>
      <c r="B8" s="23">
        <f>SUM(B4:B7)</f>
        <v>880000</v>
      </c>
      <c r="C8" s="23">
        <f t="shared" ref="C8:E8" si="0">SUM(C4:C7)</f>
        <v>1040000</v>
      </c>
      <c r="D8" s="23">
        <f t="shared" si="0"/>
        <v>0</v>
      </c>
      <c r="E8" s="23">
        <f t="shared" si="0"/>
        <v>0</v>
      </c>
    </row>
    <row r="9" spans="1:6" ht="14.35" thickTop="1" x14ac:dyDescent="0.4">
      <c r="A9" s="2"/>
      <c r="B9" s="2"/>
      <c r="C9" s="2"/>
      <c r="D9" s="2"/>
      <c r="E9" s="2"/>
    </row>
  </sheetData>
  <phoneticPr fontId="3" type="noConversion"/>
  <pageMargins left="0.7" right="0.7" top="0.75" bottom="0.75" header="0.3" footer="0.3"/>
  <pageSetup orientation="portrait" r:id="rId1"/>
  <headerFooter>
    <oddHeader xml:space="preserve">&amp;L&amp;"細明體,標準"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B1809-FB85-4A0A-ACD2-6589330F4814}">
  <dimension ref="A1:D10"/>
  <sheetViews>
    <sheetView workbookViewId="0"/>
  </sheetViews>
  <sheetFormatPr defaultColWidth="9" defaultRowHeight="14" x14ac:dyDescent="0.4"/>
  <cols>
    <col min="1" max="1" width="9.5" style="3" bestFit="1" customWidth="1"/>
    <col min="2" max="2" width="25.5" style="3" bestFit="1" customWidth="1"/>
    <col min="3" max="3" width="11.71875" style="3" customWidth="1"/>
    <col min="4" max="4" width="14.5" style="3" customWidth="1"/>
    <col min="5" max="16384" width="9" style="3"/>
  </cols>
  <sheetData>
    <row r="1" spans="1:4" ht="22.35" x14ac:dyDescent="0.75">
      <c r="A1" s="28" t="s">
        <v>82</v>
      </c>
      <c r="B1" s="28"/>
      <c r="C1" s="28"/>
      <c r="D1" s="28"/>
    </row>
    <row r="2" spans="1:4" ht="19" x14ac:dyDescent="0.6">
      <c r="A2" s="45" t="s">
        <v>83</v>
      </c>
      <c r="B2" s="30"/>
      <c r="C2" s="30"/>
      <c r="D2" s="30"/>
    </row>
    <row r="3" spans="1:4" ht="16" thickBot="1" x14ac:dyDescent="0.6">
      <c r="A3" s="6" t="s">
        <v>0</v>
      </c>
      <c r="B3" s="6" t="s">
        <v>1</v>
      </c>
      <c r="C3" s="7" t="s">
        <v>90</v>
      </c>
      <c r="D3" s="7" t="s">
        <v>89</v>
      </c>
    </row>
    <row r="4" spans="1:4" ht="16" thickTop="1" x14ac:dyDescent="0.55000000000000004">
      <c r="A4" s="41">
        <v>1</v>
      </c>
      <c r="B4" s="43" t="s">
        <v>85</v>
      </c>
      <c r="C4" s="42">
        <v>380</v>
      </c>
      <c r="D4" s="24">
        <v>34012</v>
      </c>
    </row>
    <row r="5" spans="1:4" ht="15.7" x14ac:dyDescent="0.55000000000000004">
      <c r="A5" s="41">
        <v>2</v>
      </c>
      <c r="B5" s="43" t="s">
        <v>84</v>
      </c>
      <c r="C5" s="42">
        <v>180</v>
      </c>
      <c r="D5" s="24">
        <v>4300</v>
      </c>
    </row>
    <row r="6" spans="1:4" ht="15.7" x14ac:dyDescent="0.55000000000000004">
      <c r="A6" s="41">
        <v>3</v>
      </c>
      <c r="B6" s="43" t="s">
        <v>86</v>
      </c>
      <c r="C6" s="42">
        <v>260</v>
      </c>
      <c r="D6" s="24">
        <v>5238</v>
      </c>
    </row>
    <row r="7" spans="1:4" ht="15.7" x14ac:dyDescent="0.55000000000000004">
      <c r="A7" s="41">
        <v>4</v>
      </c>
      <c r="B7" s="43" t="s">
        <v>87</v>
      </c>
      <c r="C7" s="42">
        <v>240</v>
      </c>
      <c r="D7" s="24">
        <v>8999</v>
      </c>
    </row>
    <row r="8" spans="1:4" ht="15.7" x14ac:dyDescent="0.55000000000000004">
      <c r="A8" s="41">
        <v>5</v>
      </c>
      <c r="B8" s="43" t="s">
        <v>88</v>
      </c>
      <c r="C8" s="42">
        <v>280</v>
      </c>
      <c r="D8" s="24">
        <v>3499</v>
      </c>
    </row>
    <row r="9" spans="1:4" x14ac:dyDescent="0.4">
      <c r="D9" s="4"/>
    </row>
    <row r="10" spans="1:4" ht="14.35" x14ac:dyDescent="0.45">
      <c r="D10" s="5"/>
    </row>
  </sheetData>
  <phoneticPr fontId="3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BF3ED-2461-44FC-A7B1-E9AB3C8E19A0}">
  <dimension ref="A1:B9"/>
  <sheetViews>
    <sheetView workbookViewId="0"/>
  </sheetViews>
  <sheetFormatPr defaultRowHeight="14" x14ac:dyDescent="0.4"/>
  <cols>
    <col min="1" max="1" width="8.6640625" bestFit="1" customWidth="1"/>
    <col min="2" max="2" width="15.71875" bestFit="1" customWidth="1"/>
  </cols>
  <sheetData>
    <row r="1" spans="1:2" x14ac:dyDescent="0.4">
      <c r="A1" s="8" t="s">
        <v>2</v>
      </c>
      <c r="B1" s="3" t="s">
        <v>3</v>
      </c>
    </row>
    <row r="3" spans="1:2" x14ac:dyDescent="0.4">
      <c r="A3" s="8" t="s">
        <v>92</v>
      </c>
      <c r="B3" t="s">
        <v>91</v>
      </c>
    </row>
    <row r="4" spans="1:2" x14ac:dyDescent="0.4">
      <c r="A4" s="44">
        <v>180</v>
      </c>
      <c r="B4" s="40">
        <v>4300</v>
      </c>
    </row>
    <row r="5" spans="1:2" x14ac:dyDescent="0.4">
      <c r="A5" s="44">
        <v>240</v>
      </c>
      <c r="B5" s="40">
        <v>8999</v>
      </c>
    </row>
    <row r="6" spans="1:2" x14ac:dyDescent="0.4">
      <c r="A6" s="44">
        <v>260</v>
      </c>
      <c r="B6" s="40">
        <v>5238</v>
      </c>
    </row>
    <row r="7" spans="1:2" x14ac:dyDescent="0.4">
      <c r="A7" s="44">
        <v>280</v>
      </c>
      <c r="B7" s="40">
        <v>3499</v>
      </c>
    </row>
    <row r="8" spans="1:2" x14ac:dyDescent="0.4">
      <c r="A8" s="44">
        <v>380</v>
      </c>
      <c r="B8" s="40">
        <v>34012</v>
      </c>
    </row>
    <row r="9" spans="1:2" x14ac:dyDescent="0.4">
      <c r="A9" s="44" t="s">
        <v>81</v>
      </c>
      <c r="B9" s="40">
        <v>56048</v>
      </c>
    </row>
  </sheetData>
  <phoneticPr fontId="3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D5E28D5B02B07E4DB22E0CDD299B3D4E" ma:contentTypeVersion="2" ma:contentTypeDescription="建立新的文件。" ma:contentTypeScope="" ma:versionID="1ceee1b0b7464ceb674a54215d5c935a">
  <xsd:schema xmlns:xsd="http://www.w3.org/2001/XMLSchema" xmlns:xs="http://www.w3.org/2001/XMLSchema" xmlns:p="http://schemas.microsoft.com/office/2006/metadata/properties" xmlns:ns2="78f0e584-11c4-49ff-b173-4bb87e503819" targetNamespace="http://schemas.microsoft.com/office/2006/metadata/properties" ma:root="true" ma:fieldsID="adba638c17233bd54f0a79033de5b534" ns2:_="">
    <xsd:import namespace="78f0e584-11c4-49ff-b173-4bb87e5038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f0e584-11c4-49ff-b173-4bb87e5038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06ADBCD-B0A5-4D1A-8325-8E0731E86EE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A14AF87-743F-4E39-9BF0-1B9F64B38065}">
  <ds:schemaRefs>
    <ds:schemaRef ds:uri="http://purl.org/dc/terms/"/>
    <ds:schemaRef ds:uri="http://schemas.microsoft.com/sharepoint/v3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77e75463-0609-43b1-9861-fe0c92935952"/>
    <ds:schemaRef ds:uri="59c1bcad-7098-423b-871d-6eb77e919c74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7088B2C8-45F3-4E19-83F3-346ABCB693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f0e584-11c4-49ff-b173-4bb87e5038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1</vt:i4>
      </vt:variant>
    </vt:vector>
  </HeadingPairs>
  <TitlesOfParts>
    <vt:vector size="5" baseType="lpstr">
      <vt:lpstr>職員</vt:lpstr>
      <vt:lpstr>總銷售額</vt:lpstr>
      <vt:lpstr>優惠方案</vt:lpstr>
      <vt:lpstr>方案分析</vt:lpstr>
      <vt:lpstr>連絡電話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 Huang</dc:creator>
  <cp:lastModifiedBy>User</cp:lastModifiedBy>
  <dcterms:created xsi:type="dcterms:W3CDTF">2019-04-13T00:26:51Z</dcterms:created>
  <dcterms:modified xsi:type="dcterms:W3CDTF">2021-05-17T07:45:43Z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0x010100D5E28D5B02B07E4DB22E0CDD299B3D4E</vt:lpwstr>
  </property>
</Properties>
</file>