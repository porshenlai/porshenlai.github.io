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ovec\Downloads\"/>
    </mc:Choice>
  </mc:AlternateContent>
  <xr:revisionPtr revIDLastSave="0" documentId="13_ncr:1_{3DF512D9-2F1F-433D-A39A-26A1579C8ED3}" xr6:coauthVersionLast="47" xr6:coauthVersionMax="47" xr10:uidLastSave="{00000000-0000-0000-0000-000000000000}"/>
  <bookViews>
    <workbookView xWindow="0" yWindow="0" windowWidth="20520" windowHeight="13080" xr2:uid="{0EDD96F4-F06E-4CE0-8584-D6198B22497A}"/>
  </bookViews>
  <sheets>
    <sheet name="折扣" sheetId="1" r:id="rId1"/>
    <sheet name="折扣分析" sheetId="4" r:id="rId2"/>
  </sheets>
  <definedNames>
    <definedName name="_xlnm._FilterDatabase" localSheetId="0" hidden="1">折扣!$A$1:$K$250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2" i="1" l="1"/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F72" i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2" i="1"/>
  <c r="F2" i="1" s="1"/>
  <c r="F26" i="1" l="1"/>
</calcChain>
</file>

<file path=xl/sharedStrings.xml><?xml version="1.0" encoding="utf-8"?>
<sst xmlns="http://schemas.openxmlformats.org/spreadsheetml/2006/main" count="222" uniqueCount="26">
  <si>
    <t>銷貨編號</t>
    <phoneticPr fontId="3" type="noConversion"/>
  </si>
  <si>
    <t>產品名稱</t>
    <phoneticPr fontId="3" type="noConversion"/>
  </si>
  <si>
    <t>會員等級</t>
    <phoneticPr fontId="3" type="noConversion"/>
  </si>
  <si>
    <t>金額</t>
    <phoneticPr fontId="3" type="noConversion"/>
  </si>
  <si>
    <t>原價</t>
    <phoneticPr fontId="3" type="noConversion"/>
  </si>
  <si>
    <t>總折扣</t>
    <phoneticPr fontId="3" type="noConversion"/>
  </si>
  <si>
    <t>平均折扣</t>
    <phoneticPr fontId="3" type="noConversion"/>
  </si>
  <si>
    <t>蘋果禮盒</t>
  </si>
  <si>
    <t>草莓禮盒</t>
  </si>
  <si>
    <t>櫻桃禮盒</t>
  </si>
  <si>
    <t>水梨禮盒</t>
  </si>
  <si>
    <t>鳳梨禮盒</t>
  </si>
  <si>
    <t>C</t>
  </si>
  <si>
    <t>B</t>
  </si>
  <si>
    <t>D</t>
  </si>
  <si>
    <t>A</t>
  </si>
  <si>
    <t>會員折扣</t>
    <phoneticPr fontId="3" type="noConversion"/>
  </si>
  <si>
    <t>A</t>
    <phoneticPr fontId="3" type="noConversion"/>
  </si>
  <si>
    <t>A級蘋果禮盒</t>
    <phoneticPr fontId="3" type="noConversion"/>
  </si>
  <si>
    <r>
      <t>A</t>
    </r>
    <r>
      <rPr>
        <sz val="11"/>
        <color theme="1"/>
        <rFont val="微軟正黑體"/>
        <family val="2"/>
        <charset val="136"/>
      </rPr>
      <t>級櫻桃禮盒</t>
    </r>
    <phoneticPr fontId="3" type="noConversion"/>
  </si>
  <si>
    <r>
      <t>A</t>
    </r>
    <r>
      <rPr>
        <sz val="11"/>
        <color theme="1"/>
        <rFont val="微軟正黑體"/>
        <family val="2"/>
        <charset val="136"/>
      </rPr>
      <t>級水梨禮盒</t>
    </r>
    <phoneticPr fontId="3" type="noConversion"/>
  </si>
  <si>
    <r>
      <t>A</t>
    </r>
    <r>
      <rPr>
        <sz val="11"/>
        <color theme="1"/>
        <rFont val="微軟正黑體"/>
        <family val="2"/>
        <charset val="136"/>
      </rPr>
      <t>級鳳梨禮盒</t>
    </r>
    <phoneticPr fontId="3" type="noConversion"/>
  </si>
  <si>
    <r>
      <t>A</t>
    </r>
    <r>
      <rPr>
        <sz val="11"/>
        <color theme="1"/>
        <rFont val="微軟正黑體"/>
        <family val="2"/>
        <charset val="136"/>
      </rPr>
      <t>級草莓禮盒</t>
    </r>
    <phoneticPr fontId="3" type="noConversion"/>
  </si>
  <si>
    <t>列標籤</t>
  </si>
  <si>
    <t>總計</t>
  </si>
  <si>
    <t>加總 - 會員折扣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</si>
</sst>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</numFmts>
  <fonts count="25" x14ac:knownFonts="1">
    <font>
      <sz val="11"/>
      <color theme="1"/>
      <name val="Calibri"/>
      <family val="2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9C5700"/>
      <name val="Calibri"/>
      <family val="2"/>
    </font>
    <font>
      <b/>
      <sz val="12"/>
      <color theme="1"/>
      <name val="Calibri"/>
      <family val="2"/>
    </font>
    <font>
      <sz val="12"/>
      <color rgb="FF006100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i/>
      <sz val="12"/>
      <color rgb="FF7F7F7F"/>
      <name val="Calibri"/>
      <family val="2"/>
    </font>
    <font>
      <sz val="12"/>
      <color theme="0"/>
      <name val="Calibri"/>
      <family val="2"/>
    </font>
    <font>
      <sz val="18"/>
      <color theme="3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theme="0"/>
      <name val="Calibri"/>
      <family val="2"/>
    </font>
    <font>
      <sz val="12"/>
      <color rgb="FF9C0006"/>
      <name val="Calibri"/>
      <family val="2"/>
    </font>
    <font>
      <sz val="12"/>
      <color rgb="FFFF0000"/>
      <name val="Calibri"/>
      <family val="2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b/>
      <sz val="11"/>
      <color theme="0"/>
      <name val="細明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theme="1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176" fontId="4" fillId="0" borderId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44" fontId="4" fillId="0" borderId="5" xfId="1" applyNumberFormat="1" applyBorder="1" applyAlignment="1">
      <alignment horizontal="center"/>
    </xf>
    <xf numFmtId="44" fontId="4" fillId="0" borderId="6" xfId="1" applyNumberFormat="1" applyBorder="1" applyAlignment="1">
      <alignment horizontal="center"/>
    </xf>
    <xf numFmtId="0" fontId="24" fillId="32" borderId="3" xfId="0" applyFont="1" applyFill="1" applyBorder="1" applyAlignment="1">
      <alignment horizontal="center" vertical="top" wrapText="1"/>
    </xf>
    <xf numFmtId="0" fontId="24" fillId="32" borderId="4" xfId="0" applyFont="1" applyFill="1" applyBorder="1" applyAlignment="1">
      <alignment horizontal="center" vertical="top" wrapText="1"/>
    </xf>
    <xf numFmtId="176" fontId="4" fillId="0" borderId="15" xfId="1" applyBorder="1"/>
    <xf numFmtId="0" fontId="1" fillId="0" borderId="15" xfId="0" applyFont="1" applyBorder="1"/>
    <xf numFmtId="0" fontId="0" fillId="0" borderId="15" xfId="0" applyBorder="1" applyAlignment="1">
      <alignment horizontal="center"/>
    </xf>
    <xf numFmtId="0" fontId="0" fillId="0" borderId="0" xfId="0" applyFont="1"/>
    <xf numFmtId="0" fontId="24" fillId="3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 customBuiltin="1"/>
    <cellStyle name="中等" xfId="9" builtinId="28" customBuiltin="1"/>
    <cellStyle name="合計" xfId="17" builtinId="25" customBuiltin="1"/>
    <cellStyle name="好" xfId="7" builtinId="26" customBuiltin="1"/>
    <cellStyle name="計算方式" xfId="12" builtinId="22" customBuiltin="1"/>
    <cellStyle name="貨幣" xfId="1" builtinId="4" customBuiltin="1"/>
    <cellStyle name="連結的儲存格" xfId="13" builtinId="24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328.601134259261" createdVersion="7" refreshedVersion="7" minRefreshableVersion="3" recordCount="100" xr:uid="{5AD55E9B-7BC4-4255-800C-0AAC44BCC1F2}">
  <cacheSource type="worksheet">
    <worksheetSource ref="A1:F101" sheet="折扣"/>
  </cacheSource>
  <cacheFields count="6">
    <cacheField name="銷貨編號" numFmtId="0">
      <sharedItems containsSemiMixedTypes="0" containsString="0" containsNumber="1" containsInteger="1" minValue="1" maxValue="100"/>
    </cacheField>
    <cacheField name="產品名稱" numFmtId="0">
      <sharedItems count="5">
        <s v="蘋果禮盒"/>
        <s v="草莓禮盒"/>
        <s v="櫻桃禮盒"/>
        <s v="水梨禮盒"/>
        <s v="鳳梨禮盒"/>
      </sharedItems>
    </cacheField>
    <cacheField name="會員等級" numFmtId="0">
      <sharedItems/>
    </cacheField>
    <cacheField name="原價" numFmtId="44">
      <sharedItems containsSemiMixedTypes="0" containsString="0" containsNumber="1" containsInteger="1" minValue="150" maxValue="330"/>
    </cacheField>
    <cacheField name="會員折扣" numFmtId="44">
      <sharedItems containsSemiMixedTypes="0" containsString="0" containsNumber="1" minValue="1.5" maxValue="36.299999999999997"/>
    </cacheField>
    <cacheField name="金額" numFmtId="44">
      <sharedItems containsSemiMixedTypes="0" containsString="0" containsNumber="1" minValue="133.5" maxValue="293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s v="A"/>
    <n v="150"/>
    <n v="16.5"/>
    <n v="133.5"/>
  </r>
  <r>
    <n v="2"/>
    <x v="0"/>
    <s v="C"/>
    <n v="150"/>
    <n v="16.5"/>
    <n v="133.5"/>
  </r>
  <r>
    <n v="3"/>
    <x v="1"/>
    <s v="A"/>
    <n v="330"/>
    <n v="36.299999999999997"/>
    <n v="293.7"/>
  </r>
  <r>
    <n v="4"/>
    <x v="0"/>
    <s v="C"/>
    <n v="150"/>
    <n v="16.5"/>
    <n v="133.5"/>
  </r>
  <r>
    <n v="5"/>
    <x v="2"/>
    <s v="B"/>
    <n v="260"/>
    <n v="28.6"/>
    <n v="231.4"/>
  </r>
  <r>
    <n v="6"/>
    <x v="1"/>
    <s v="C"/>
    <n v="330"/>
    <n v="36.299999999999997"/>
    <n v="293.7"/>
  </r>
  <r>
    <n v="7"/>
    <x v="3"/>
    <s v="A"/>
    <n v="180"/>
    <n v="19.8"/>
    <n v="160.19999999999999"/>
  </r>
  <r>
    <n v="8"/>
    <x v="0"/>
    <s v="B"/>
    <n v="150"/>
    <n v="16.5"/>
    <n v="133.5"/>
  </r>
  <r>
    <n v="9"/>
    <x v="0"/>
    <s v="C"/>
    <n v="150"/>
    <n v="16.5"/>
    <n v="133.5"/>
  </r>
  <r>
    <n v="10"/>
    <x v="0"/>
    <s v="D"/>
    <n v="150"/>
    <n v="16.5"/>
    <n v="133.5"/>
  </r>
  <r>
    <n v="11"/>
    <x v="0"/>
    <s v="A"/>
    <n v="150"/>
    <n v="16.5"/>
    <n v="133.5"/>
  </r>
  <r>
    <n v="12"/>
    <x v="0"/>
    <s v="C"/>
    <n v="150"/>
    <n v="16.5"/>
    <n v="133.5"/>
  </r>
  <r>
    <n v="13"/>
    <x v="0"/>
    <s v="A"/>
    <n v="150"/>
    <n v="16.5"/>
    <n v="133.5"/>
  </r>
  <r>
    <n v="14"/>
    <x v="0"/>
    <s v="C"/>
    <n v="150"/>
    <n v="16.5"/>
    <n v="133.5"/>
  </r>
  <r>
    <n v="15"/>
    <x v="0"/>
    <s v="A"/>
    <n v="150"/>
    <n v="16.5"/>
    <n v="133.5"/>
  </r>
  <r>
    <n v="16"/>
    <x v="1"/>
    <s v="C"/>
    <n v="330"/>
    <n v="36.299999999999997"/>
    <n v="293.7"/>
  </r>
  <r>
    <n v="17"/>
    <x v="4"/>
    <s v="D"/>
    <n v="169"/>
    <n v="18.59"/>
    <n v="150.41"/>
  </r>
  <r>
    <n v="18"/>
    <x v="4"/>
    <s v="C"/>
    <n v="169"/>
    <n v="18.59"/>
    <n v="150.41"/>
  </r>
  <r>
    <n v="19"/>
    <x v="2"/>
    <s v="B"/>
    <n v="260"/>
    <n v="28.6"/>
    <n v="231.4"/>
  </r>
  <r>
    <n v="20"/>
    <x v="0"/>
    <s v="C"/>
    <n v="150"/>
    <n v="16.5"/>
    <n v="133.5"/>
  </r>
  <r>
    <n v="21"/>
    <x v="2"/>
    <s v="B"/>
    <n v="260"/>
    <n v="28.6"/>
    <n v="231.4"/>
  </r>
  <r>
    <n v="22"/>
    <x v="1"/>
    <s v="A"/>
    <n v="330"/>
    <n v="36.299999999999997"/>
    <n v="293.7"/>
  </r>
  <r>
    <n v="23"/>
    <x v="0"/>
    <s v="B"/>
    <n v="150"/>
    <n v="16.5"/>
    <n v="133.5"/>
  </r>
  <r>
    <n v="24"/>
    <x v="1"/>
    <s v="B"/>
    <n v="330"/>
    <n v="36.299999999999997"/>
    <n v="293.7"/>
  </r>
  <r>
    <n v="25"/>
    <x v="2"/>
    <s v="A"/>
    <n v="260"/>
    <n v="28.6"/>
    <n v="231.4"/>
  </r>
  <r>
    <n v="26"/>
    <x v="4"/>
    <s v="D"/>
    <n v="169"/>
    <n v="18.59"/>
    <n v="150.41"/>
  </r>
  <r>
    <n v="27"/>
    <x v="0"/>
    <s v="C"/>
    <n v="150"/>
    <n v="16.5"/>
    <n v="133.5"/>
  </r>
  <r>
    <n v="28"/>
    <x v="2"/>
    <s v="A"/>
    <n v="260"/>
    <n v="28.6"/>
    <n v="231.4"/>
  </r>
  <r>
    <n v="29"/>
    <x v="0"/>
    <s v="C"/>
    <n v="150"/>
    <n v="16.5"/>
    <n v="133.5"/>
  </r>
  <r>
    <n v="30"/>
    <x v="0"/>
    <s v="B"/>
    <n v="150"/>
    <n v="16.5"/>
    <n v="133.5"/>
  </r>
  <r>
    <n v="31"/>
    <x v="0"/>
    <s v="C"/>
    <n v="150"/>
    <n v="16.5"/>
    <n v="133.5"/>
  </r>
  <r>
    <n v="32"/>
    <x v="0"/>
    <s v="B"/>
    <n v="150"/>
    <n v="16.5"/>
    <n v="133.5"/>
  </r>
  <r>
    <n v="33"/>
    <x v="2"/>
    <s v="B"/>
    <n v="260"/>
    <n v="28.6"/>
    <n v="231.4"/>
  </r>
  <r>
    <n v="34"/>
    <x v="0"/>
    <s v="B"/>
    <n v="150"/>
    <n v="16.5"/>
    <n v="133.5"/>
  </r>
  <r>
    <n v="35"/>
    <x v="0"/>
    <s v="C"/>
    <n v="150"/>
    <n v="16.5"/>
    <n v="133.5"/>
  </r>
  <r>
    <n v="36"/>
    <x v="0"/>
    <s v="C"/>
    <n v="150"/>
    <n v="16.5"/>
    <n v="133.5"/>
  </r>
  <r>
    <n v="37"/>
    <x v="0"/>
    <s v="B"/>
    <n v="150"/>
    <n v="16.5"/>
    <n v="133.5"/>
  </r>
  <r>
    <n v="38"/>
    <x v="2"/>
    <s v="A"/>
    <n v="260"/>
    <n v="28.6"/>
    <n v="231.4"/>
  </r>
  <r>
    <n v="39"/>
    <x v="1"/>
    <s v="D"/>
    <n v="330"/>
    <n v="36.299999999999997"/>
    <n v="293.7"/>
  </r>
  <r>
    <n v="40"/>
    <x v="1"/>
    <s v="C"/>
    <n v="330"/>
    <n v="36.299999999999997"/>
    <n v="293.7"/>
  </r>
  <r>
    <n v="41"/>
    <x v="1"/>
    <s v="B"/>
    <n v="330"/>
    <n v="36.299999999999997"/>
    <n v="293.7"/>
  </r>
  <r>
    <n v="42"/>
    <x v="0"/>
    <s v="C"/>
    <n v="150"/>
    <n v="16.5"/>
    <n v="133.5"/>
  </r>
  <r>
    <n v="43"/>
    <x v="0"/>
    <s v="A"/>
    <n v="150"/>
    <n v="16.5"/>
    <n v="133.5"/>
  </r>
  <r>
    <n v="44"/>
    <x v="3"/>
    <s v="B"/>
    <n v="180"/>
    <n v="19.8"/>
    <n v="160.19999999999999"/>
  </r>
  <r>
    <n v="45"/>
    <x v="0"/>
    <s v="C"/>
    <n v="150"/>
    <n v="16.5"/>
    <n v="133.5"/>
  </r>
  <r>
    <n v="46"/>
    <x v="3"/>
    <s v="B"/>
    <n v="180"/>
    <n v="19.8"/>
    <n v="160.19999999999999"/>
  </r>
  <r>
    <n v="47"/>
    <x v="4"/>
    <s v="D"/>
    <n v="169"/>
    <n v="18.59"/>
    <n v="150.41"/>
  </r>
  <r>
    <n v="48"/>
    <x v="0"/>
    <s v="A"/>
    <n v="150"/>
    <n v="16.5"/>
    <n v="133.5"/>
  </r>
  <r>
    <n v="49"/>
    <x v="0"/>
    <s v="A"/>
    <n v="150"/>
    <n v="16.5"/>
    <n v="133.5"/>
  </r>
  <r>
    <n v="50"/>
    <x v="0"/>
    <s v="C"/>
    <n v="150"/>
    <n v="16.5"/>
    <n v="133.5"/>
  </r>
  <r>
    <n v="51"/>
    <x v="0"/>
    <s v="B"/>
    <n v="150"/>
    <n v="16.5"/>
    <n v="133.5"/>
  </r>
  <r>
    <n v="52"/>
    <x v="1"/>
    <s v="C"/>
    <n v="330"/>
    <n v="36.299999999999997"/>
    <n v="293.7"/>
  </r>
  <r>
    <n v="53"/>
    <x v="0"/>
    <s v="C"/>
    <n v="150"/>
    <n v="16.5"/>
    <n v="133.5"/>
  </r>
  <r>
    <n v="54"/>
    <x v="0"/>
    <s v="C"/>
    <n v="150"/>
    <n v="16.5"/>
    <n v="133.5"/>
  </r>
  <r>
    <n v="55"/>
    <x v="2"/>
    <s v="B"/>
    <n v="260"/>
    <n v="28.6"/>
    <n v="231.4"/>
  </r>
  <r>
    <n v="56"/>
    <x v="2"/>
    <s v="A"/>
    <n v="260"/>
    <n v="28.6"/>
    <n v="231.4"/>
  </r>
  <r>
    <n v="57"/>
    <x v="0"/>
    <s v="C"/>
    <n v="150"/>
    <n v="16.5"/>
    <n v="133.5"/>
  </r>
  <r>
    <n v="58"/>
    <x v="4"/>
    <s v="D"/>
    <n v="169"/>
    <n v="18.59"/>
    <n v="150.41"/>
  </r>
  <r>
    <n v="59"/>
    <x v="1"/>
    <s v="A"/>
    <n v="330"/>
    <n v="36.299999999999997"/>
    <n v="293.7"/>
  </r>
  <r>
    <n v="60"/>
    <x v="0"/>
    <s v="B"/>
    <n v="150"/>
    <n v="16.5"/>
    <n v="133.5"/>
  </r>
  <r>
    <n v="61"/>
    <x v="4"/>
    <s v="D"/>
    <n v="169"/>
    <n v="18.59"/>
    <n v="150.41"/>
  </r>
  <r>
    <n v="62"/>
    <x v="0"/>
    <s v="B"/>
    <n v="150"/>
    <n v="16.5"/>
    <n v="133.5"/>
  </r>
  <r>
    <n v="63"/>
    <x v="0"/>
    <s v="C"/>
    <n v="150"/>
    <n v="16.5"/>
    <n v="133.5"/>
  </r>
  <r>
    <n v="64"/>
    <x v="0"/>
    <s v="C"/>
    <n v="150"/>
    <n v="16.5"/>
    <n v="133.5"/>
  </r>
  <r>
    <n v="65"/>
    <x v="2"/>
    <s v="B"/>
    <n v="260"/>
    <n v="28.6"/>
    <n v="231.4"/>
  </r>
  <r>
    <n v="66"/>
    <x v="2"/>
    <s v="B"/>
    <n v="260"/>
    <n v="28.6"/>
    <n v="231.4"/>
  </r>
  <r>
    <n v="67"/>
    <x v="2"/>
    <s v="B"/>
    <n v="260"/>
    <n v="28.6"/>
    <n v="231.4"/>
  </r>
  <r>
    <n v="68"/>
    <x v="3"/>
    <s v="B"/>
    <n v="180"/>
    <n v="19.8"/>
    <n v="160.19999999999999"/>
  </r>
  <r>
    <n v="69"/>
    <x v="3"/>
    <s v="B"/>
    <n v="180"/>
    <n v="19.8"/>
    <n v="160.19999999999999"/>
  </r>
  <r>
    <n v="70"/>
    <x v="1"/>
    <s v="A"/>
    <n v="330"/>
    <n v="36.299999999999997"/>
    <n v="293.7"/>
  </r>
  <r>
    <n v="71"/>
    <x v="0"/>
    <s v="C"/>
    <n v="150"/>
    <n v="1.5"/>
    <n v="148.5"/>
  </r>
  <r>
    <n v="72"/>
    <x v="0"/>
    <s v="A"/>
    <n v="150"/>
    <n v="16.5"/>
    <n v="133.5"/>
  </r>
  <r>
    <n v="73"/>
    <x v="0"/>
    <s v="B"/>
    <n v="150"/>
    <n v="16.5"/>
    <n v="133.5"/>
  </r>
  <r>
    <n v="74"/>
    <x v="0"/>
    <s v="C"/>
    <n v="150"/>
    <n v="16.5"/>
    <n v="133.5"/>
  </r>
  <r>
    <n v="75"/>
    <x v="0"/>
    <s v="C"/>
    <n v="150"/>
    <n v="16.5"/>
    <n v="133.5"/>
  </r>
  <r>
    <n v="76"/>
    <x v="3"/>
    <s v="B"/>
    <n v="180"/>
    <n v="19.8"/>
    <n v="160.19999999999999"/>
  </r>
  <r>
    <n v="77"/>
    <x v="3"/>
    <s v="B"/>
    <n v="180"/>
    <n v="19.8"/>
    <n v="160.19999999999999"/>
  </r>
  <r>
    <n v="78"/>
    <x v="3"/>
    <s v="B"/>
    <n v="180"/>
    <n v="19.8"/>
    <n v="160.19999999999999"/>
  </r>
  <r>
    <n v="79"/>
    <x v="0"/>
    <s v="A"/>
    <n v="150"/>
    <n v="16.5"/>
    <n v="133.5"/>
  </r>
  <r>
    <n v="80"/>
    <x v="0"/>
    <s v="B"/>
    <n v="150"/>
    <n v="16.5"/>
    <n v="133.5"/>
  </r>
  <r>
    <n v="81"/>
    <x v="0"/>
    <s v="C"/>
    <n v="150"/>
    <n v="16.5"/>
    <n v="133.5"/>
  </r>
  <r>
    <n v="82"/>
    <x v="1"/>
    <s v="C"/>
    <n v="330"/>
    <n v="36.299999999999997"/>
    <n v="293.7"/>
  </r>
  <r>
    <n v="83"/>
    <x v="0"/>
    <s v="B"/>
    <n v="150"/>
    <n v="16.5"/>
    <n v="133.5"/>
  </r>
  <r>
    <n v="84"/>
    <x v="2"/>
    <s v="A"/>
    <n v="260"/>
    <n v="28.6"/>
    <n v="231.4"/>
  </r>
  <r>
    <n v="85"/>
    <x v="0"/>
    <s v="C"/>
    <n v="150"/>
    <n v="16.5"/>
    <n v="133.5"/>
  </r>
  <r>
    <n v="86"/>
    <x v="3"/>
    <s v="B"/>
    <n v="180"/>
    <n v="19.8"/>
    <n v="160.19999999999999"/>
  </r>
  <r>
    <n v="87"/>
    <x v="1"/>
    <s v="C"/>
    <n v="330"/>
    <n v="36.299999999999997"/>
    <n v="293.7"/>
  </r>
  <r>
    <n v="88"/>
    <x v="4"/>
    <s v="D"/>
    <n v="169"/>
    <n v="18.59"/>
    <n v="150.41"/>
  </r>
  <r>
    <n v="89"/>
    <x v="0"/>
    <s v="C"/>
    <n v="150"/>
    <n v="16.5"/>
    <n v="133.5"/>
  </r>
  <r>
    <n v="90"/>
    <x v="4"/>
    <s v="C"/>
    <n v="169"/>
    <n v="18.59"/>
    <n v="150.41"/>
  </r>
  <r>
    <n v="91"/>
    <x v="0"/>
    <s v="B"/>
    <n v="150"/>
    <n v="16.5"/>
    <n v="133.5"/>
  </r>
  <r>
    <n v="92"/>
    <x v="0"/>
    <s v="C"/>
    <n v="150"/>
    <n v="16.5"/>
    <n v="133.5"/>
  </r>
  <r>
    <n v="93"/>
    <x v="0"/>
    <s v="A"/>
    <n v="150"/>
    <n v="16.5"/>
    <n v="133.5"/>
  </r>
  <r>
    <n v="94"/>
    <x v="3"/>
    <s v="A"/>
    <n v="180"/>
    <n v="19.8"/>
    <n v="160.19999999999999"/>
  </r>
  <r>
    <n v="95"/>
    <x v="2"/>
    <s v="A"/>
    <n v="260"/>
    <n v="28.6"/>
    <n v="231.4"/>
  </r>
  <r>
    <n v="96"/>
    <x v="3"/>
    <s v="B"/>
    <n v="180"/>
    <n v="19.8"/>
    <n v="160.19999999999999"/>
  </r>
  <r>
    <n v="97"/>
    <x v="4"/>
    <s v="A"/>
    <n v="169"/>
    <n v="18.59"/>
    <n v="150.41"/>
  </r>
  <r>
    <n v="98"/>
    <x v="0"/>
    <s v="A"/>
    <n v="150"/>
    <n v="16.5"/>
    <n v="133.5"/>
  </r>
  <r>
    <n v="99"/>
    <x v="1"/>
    <s v="C"/>
    <n v="330"/>
    <n v="36.299999999999997"/>
    <n v="293.7"/>
  </r>
  <r>
    <n v="100"/>
    <x v="1"/>
    <s v="C"/>
    <n v="330"/>
    <n v="36.299999999999997"/>
    <n v="293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ACEF1-E6A2-434F-802D-DB04FCDF0CF3}" name="樞紐分析表1" cacheId="6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B9" firstHeaderRow="1" firstDataRow="1" firstDataCol="1"/>
  <pivotFields count="6">
    <pivotField showAll="0"/>
    <pivotField axis="axisRow" showAll="0">
      <items count="6">
        <item x="3"/>
        <item x="1"/>
        <item x="4"/>
        <item x="0"/>
        <item x="2"/>
        <item t="default"/>
      </items>
    </pivotField>
    <pivotField showAll="0"/>
    <pivotField numFmtId="44" showAll="0"/>
    <pivotField dataField="1" numFmtId="44" showAll="0"/>
    <pivotField numFmtId="4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加總 - 會員折扣" fld="4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07E1-6D61-4D92-BAE3-D30B8E9AC2C5}">
  <sheetPr codeName="工作表1"/>
  <dimension ref="A1:K250"/>
  <sheetViews>
    <sheetView tabSelected="1" zoomScaleNormal="100" workbookViewId="0"/>
  </sheetViews>
  <sheetFormatPr defaultColWidth="9.1328125" defaultRowHeight="15" x14ac:dyDescent="0.45"/>
  <cols>
    <col min="1" max="1" width="13.86328125" style="21" customWidth="1"/>
    <col min="2" max="2" width="12.6640625" style="1" customWidth="1"/>
    <col min="3" max="3" width="13.59765625" style="1" customWidth="1"/>
    <col min="4" max="4" width="10.59765625" style="1" customWidth="1"/>
    <col min="5" max="5" width="12.1328125" style="1" customWidth="1"/>
    <col min="6" max="6" width="12.73046875" style="1" customWidth="1"/>
    <col min="7" max="8" width="10.59765625" style="1" customWidth="1"/>
    <col min="9" max="9" width="18" style="1" customWidth="1"/>
    <col min="10" max="11" width="11.86328125" style="1" customWidth="1"/>
    <col min="12" max="16384" width="9.1328125" style="1"/>
  </cols>
  <sheetData>
    <row r="1" spans="1:11" x14ac:dyDescent="0.45">
      <c r="A1" s="19" t="s">
        <v>0</v>
      </c>
      <c r="B1" s="13" t="s">
        <v>1</v>
      </c>
      <c r="C1" s="13" t="s">
        <v>2</v>
      </c>
      <c r="D1" s="13" t="s">
        <v>4</v>
      </c>
      <c r="E1" s="13" t="s">
        <v>16</v>
      </c>
      <c r="F1" s="14" t="s">
        <v>3</v>
      </c>
      <c r="I1" s="14" t="s">
        <v>1</v>
      </c>
      <c r="J1" s="14" t="s">
        <v>5</v>
      </c>
      <c r="K1" s="14" t="s">
        <v>6</v>
      </c>
    </row>
    <row r="2" spans="1:11" x14ac:dyDescent="0.45">
      <c r="A2" s="20">
        <v>1</v>
      </c>
      <c r="B2" s="9" t="s">
        <v>7</v>
      </c>
      <c r="C2" s="10" t="s">
        <v>17</v>
      </c>
      <c r="D2" s="11">
        <v>150</v>
      </c>
      <c r="E2" s="11">
        <f>ROUND(D2*11%,2)</f>
        <v>16.5</v>
      </c>
      <c r="F2" s="12">
        <f>D2-E2</f>
        <v>133.5</v>
      </c>
      <c r="I2" s="17" t="s">
        <v>18</v>
      </c>
      <c r="J2" s="15">
        <v>181.5</v>
      </c>
      <c r="K2" s="15">
        <v>16.5</v>
      </c>
    </row>
    <row r="3" spans="1:11" x14ac:dyDescent="0.45">
      <c r="A3" s="20">
        <v>2</v>
      </c>
      <c r="B3" s="9" t="s">
        <v>7</v>
      </c>
      <c r="C3" s="10" t="s">
        <v>12</v>
      </c>
      <c r="D3" s="11">
        <v>150</v>
      </c>
      <c r="E3" s="11">
        <f t="shared" ref="E3:E66" si="0">ROUND(D3*11%,2)</f>
        <v>16.5</v>
      </c>
      <c r="F3" s="12">
        <f t="shared" ref="F3:F66" si="1">D3-E3</f>
        <v>133.5</v>
      </c>
      <c r="I3" s="17" t="s">
        <v>19</v>
      </c>
      <c r="J3" s="15">
        <v>171.6</v>
      </c>
      <c r="K3" s="15"/>
    </row>
    <row r="4" spans="1:11" x14ac:dyDescent="0.45">
      <c r="A4" s="20">
        <v>3</v>
      </c>
      <c r="B4" s="9" t="s">
        <v>8</v>
      </c>
      <c r="C4" s="10" t="s">
        <v>17</v>
      </c>
      <c r="D4" s="11">
        <v>330</v>
      </c>
      <c r="E4" s="11">
        <f t="shared" si="0"/>
        <v>36.299999999999997</v>
      </c>
      <c r="F4" s="12">
        <f t="shared" si="1"/>
        <v>293.7</v>
      </c>
      <c r="I4" s="17" t="s">
        <v>20</v>
      </c>
      <c r="J4" s="15"/>
      <c r="K4" s="15"/>
    </row>
    <row r="5" spans="1:11" x14ac:dyDescent="0.45">
      <c r="A5" s="20">
        <v>4</v>
      </c>
      <c r="B5" s="9" t="s">
        <v>7</v>
      </c>
      <c r="C5" s="10" t="s">
        <v>12</v>
      </c>
      <c r="D5" s="11">
        <v>150</v>
      </c>
      <c r="E5" s="11">
        <f t="shared" si="0"/>
        <v>16.5</v>
      </c>
      <c r="F5" s="12">
        <f t="shared" si="1"/>
        <v>133.5</v>
      </c>
      <c r="I5" s="17" t="s">
        <v>21</v>
      </c>
      <c r="J5" s="15"/>
      <c r="K5" s="15"/>
    </row>
    <row r="6" spans="1:11" x14ac:dyDescent="0.45">
      <c r="A6" s="20">
        <v>5</v>
      </c>
      <c r="B6" s="9" t="s">
        <v>9</v>
      </c>
      <c r="C6" s="10" t="s">
        <v>13</v>
      </c>
      <c r="D6" s="11">
        <v>260</v>
      </c>
      <c r="E6" s="11">
        <f t="shared" si="0"/>
        <v>28.6</v>
      </c>
      <c r="F6" s="12">
        <f t="shared" si="1"/>
        <v>231.4</v>
      </c>
      <c r="I6" s="17" t="s">
        <v>22</v>
      </c>
      <c r="J6" s="15"/>
      <c r="K6" s="16"/>
    </row>
    <row r="7" spans="1:11" x14ac:dyDescent="0.45">
      <c r="A7" s="20">
        <v>6</v>
      </c>
      <c r="B7" s="9" t="s">
        <v>8</v>
      </c>
      <c r="C7" s="10" t="s">
        <v>12</v>
      </c>
      <c r="D7" s="11">
        <v>330</v>
      </c>
      <c r="E7" s="11">
        <f t="shared" si="0"/>
        <v>36.299999999999997</v>
      </c>
      <c r="F7" s="12">
        <f t="shared" si="1"/>
        <v>293.7</v>
      </c>
    </row>
    <row r="8" spans="1:11" x14ac:dyDescent="0.45">
      <c r="A8" s="20">
        <v>7</v>
      </c>
      <c r="B8" s="9" t="s">
        <v>10</v>
      </c>
      <c r="C8" s="10" t="s">
        <v>17</v>
      </c>
      <c r="D8" s="11">
        <v>180</v>
      </c>
      <c r="E8" s="11">
        <f t="shared" si="0"/>
        <v>19.8</v>
      </c>
      <c r="F8" s="12">
        <f t="shared" si="1"/>
        <v>160.19999999999999</v>
      </c>
    </row>
    <row r="9" spans="1:11" x14ac:dyDescent="0.45">
      <c r="A9" s="20">
        <v>8</v>
      </c>
      <c r="B9" s="9" t="s">
        <v>7</v>
      </c>
      <c r="C9" s="10" t="s">
        <v>13</v>
      </c>
      <c r="D9" s="11">
        <v>150</v>
      </c>
      <c r="E9" s="11">
        <f t="shared" si="0"/>
        <v>16.5</v>
      </c>
      <c r="F9" s="12">
        <f t="shared" si="1"/>
        <v>133.5</v>
      </c>
    </row>
    <row r="10" spans="1:11" x14ac:dyDescent="0.45">
      <c r="A10" s="20">
        <v>9</v>
      </c>
      <c r="B10" s="9" t="s">
        <v>7</v>
      </c>
      <c r="C10" s="10" t="s">
        <v>12</v>
      </c>
      <c r="D10" s="11">
        <v>150</v>
      </c>
      <c r="E10" s="11">
        <f t="shared" si="0"/>
        <v>16.5</v>
      </c>
      <c r="F10" s="12">
        <f t="shared" si="1"/>
        <v>133.5</v>
      </c>
    </row>
    <row r="11" spans="1:11" x14ac:dyDescent="0.45">
      <c r="A11" s="20">
        <v>10</v>
      </c>
      <c r="B11" s="9" t="s">
        <v>7</v>
      </c>
      <c r="C11" s="10" t="s">
        <v>14</v>
      </c>
      <c r="D11" s="11">
        <v>150</v>
      </c>
      <c r="E11" s="11">
        <f t="shared" si="0"/>
        <v>16.5</v>
      </c>
      <c r="F11" s="12">
        <f t="shared" si="1"/>
        <v>133.5</v>
      </c>
    </row>
    <row r="12" spans="1:11" x14ac:dyDescent="0.45">
      <c r="A12" s="20">
        <v>11</v>
      </c>
      <c r="B12" s="9" t="s">
        <v>7</v>
      </c>
      <c r="C12" s="10" t="s">
        <v>17</v>
      </c>
      <c r="D12" s="11">
        <v>150</v>
      </c>
      <c r="E12" s="11">
        <f t="shared" si="0"/>
        <v>16.5</v>
      </c>
      <c r="F12" s="12">
        <f t="shared" si="1"/>
        <v>133.5</v>
      </c>
    </row>
    <row r="13" spans="1:11" x14ac:dyDescent="0.45">
      <c r="A13" s="20">
        <v>12</v>
      </c>
      <c r="B13" s="9" t="s">
        <v>7</v>
      </c>
      <c r="C13" s="10" t="s">
        <v>12</v>
      </c>
      <c r="D13" s="11">
        <v>150</v>
      </c>
      <c r="E13" s="11">
        <f t="shared" si="0"/>
        <v>16.5</v>
      </c>
      <c r="F13" s="12">
        <f t="shared" si="1"/>
        <v>133.5</v>
      </c>
      <c r="J13" s="18"/>
    </row>
    <row r="14" spans="1:11" x14ac:dyDescent="0.45">
      <c r="A14" s="20">
        <v>13</v>
      </c>
      <c r="B14" s="9" t="s">
        <v>7</v>
      </c>
      <c r="C14" s="10" t="s">
        <v>17</v>
      </c>
      <c r="D14" s="11">
        <v>150</v>
      </c>
      <c r="E14" s="11">
        <f t="shared" si="0"/>
        <v>16.5</v>
      </c>
      <c r="F14" s="12">
        <f t="shared" si="1"/>
        <v>133.5</v>
      </c>
    </row>
    <row r="15" spans="1:11" x14ac:dyDescent="0.45">
      <c r="A15" s="20">
        <v>14</v>
      </c>
      <c r="B15" s="9" t="s">
        <v>7</v>
      </c>
      <c r="C15" s="10" t="s">
        <v>12</v>
      </c>
      <c r="D15" s="11">
        <v>150</v>
      </c>
      <c r="E15" s="11">
        <f t="shared" si="0"/>
        <v>16.5</v>
      </c>
      <c r="F15" s="12">
        <f t="shared" si="1"/>
        <v>133.5</v>
      </c>
    </row>
    <row r="16" spans="1:11" x14ac:dyDescent="0.45">
      <c r="A16" s="20">
        <v>15</v>
      </c>
      <c r="B16" s="9" t="s">
        <v>7</v>
      </c>
      <c r="C16" s="10" t="s">
        <v>17</v>
      </c>
      <c r="D16" s="11">
        <v>150</v>
      </c>
      <c r="E16" s="11">
        <f t="shared" si="0"/>
        <v>16.5</v>
      </c>
      <c r="F16" s="12">
        <f t="shared" si="1"/>
        <v>133.5</v>
      </c>
    </row>
    <row r="17" spans="1:6" x14ac:dyDescent="0.45">
      <c r="A17" s="20">
        <v>16</v>
      </c>
      <c r="B17" s="9" t="s">
        <v>8</v>
      </c>
      <c r="C17" s="10" t="s">
        <v>12</v>
      </c>
      <c r="D17" s="11">
        <v>330</v>
      </c>
      <c r="E17" s="11">
        <f t="shared" si="0"/>
        <v>36.299999999999997</v>
      </c>
      <c r="F17" s="12">
        <f t="shared" si="1"/>
        <v>293.7</v>
      </c>
    </row>
    <row r="18" spans="1:6" x14ac:dyDescent="0.45">
      <c r="A18" s="20">
        <v>17</v>
      </c>
      <c r="B18" s="9" t="s">
        <v>11</v>
      </c>
      <c r="C18" s="10" t="s">
        <v>14</v>
      </c>
      <c r="D18" s="11">
        <v>169</v>
      </c>
      <c r="E18" s="11">
        <f t="shared" si="0"/>
        <v>18.59</v>
      </c>
      <c r="F18" s="12">
        <f t="shared" si="1"/>
        <v>150.41</v>
      </c>
    </row>
    <row r="19" spans="1:6" x14ac:dyDescent="0.45">
      <c r="A19" s="20">
        <v>18</v>
      </c>
      <c r="B19" s="9" t="s">
        <v>11</v>
      </c>
      <c r="C19" s="10" t="s">
        <v>12</v>
      </c>
      <c r="D19" s="11">
        <v>169</v>
      </c>
      <c r="E19" s="11">
        <f t="shared" si="0"/>
        <v>18.59</v>
      </c>
      <c r="F19" s="12">
        <f t="shared" si="1"/>
        <v>150.41</v>
      </c>
    </row>
    <row r="20" spans="1:6" x14ac:dyDescent="0.45">
      <c r="A20" s="20">
        <v>19</v>
      </c>
      <c r="B20" s="9" t="s">
        <v>9</v>
      </c>
      <c r="C20" s="10" t="s">
        <v>13</v>
      </c>
      <c r="D20" s="11">
        <v>260</v>
      </c>
      <c r="E20" s="11">
        <f t="shared" si="0"/>
        <v>28.6</v>
      </c>
      <c r="F20" s="12">
        <f t="shared" si="1"/>
        <v>231.4</v>
      </c>
    </row>
    <row r="21" spans="1:6" x14ac:dyDescent="0.45">
      <c r="A21" s="20">
        <v>20</v>
      </c>
      <c r="B21" s="9" t="s">
        <v>7</v>
      </c>
      <c r="C21" s="10" t="s">
        <v>12</v>
      </c>
      <c r="D21" s="11">
        <v>150</v>
      </c>
      <c r="E21" s="11">
        <f t="shared" si="0"/>
        <v>16.5</v>
      </c>
      <c r="F21" s="12">
        <f t="shared" si="1"/>
        <v>133.5</v>
      </c>
    </row>
    <row r="22" spans="1:6" x14ac:dyDescent="0.45">
      <c r="A22" s="20">
        <v>21</v>
      </c>
      <c r="B22" s="9" t="s">
        <v>9</v>
      </c>
      <c r="C22" s="10" t="s">
        <v>13</v>
      </c>
      <c r="D22" s="11">
        <v>260</v>
      </c>
      <c r="E22" s="11">
        <f t="shared" si="0"/>
        <v>28.6</v>
      </c>
      <c r="F22" s="12">
        <f t="shared" si="1"/>
        <v>231.4</v>
      </c>
    </row>
    <row r="23" spans="1:6" x14ac:dyDescent="0.45">
      <c r="A23" s="20">
        <v>22</v>
      </c>
      <c r="B23" s="9" t="s">
        <v>8</v>
      </c>
      <c r="C23" s="10" t="s">
        <v>17</v>
      </c>
      <c r="D23" s="11">
        <v>330</v>
      </c>
      <c r="E23" s="11">
        <f t="shared" si="0"/>
        <v>36.299999999999997</v>
      </c>
      <c r="F23" s="12">
        <f t="shared" si="1"/>
        <v>293.7</v>
      </c>
    </row>
    <row r="24" spans="1:6" x14ac:dyDescent="0.45">
      <c r="A24" s="20">
        <v>23</v>
      </c>
      <c r="B24" s="9" t="s">
        <v>7</v>
      </c>
      <c r="C24" s="10" t="s">
        <v>13</v>
      </c>
      <c r="D24" s="11">
        <v>150</v>
      </c>
      <c r="E24" s="11">
        <f t="shared" si="0"/>
        <v>16.5</v>
      </c>
      <c r="F24" s="12">
        <f t="shared" si="1"/>
        <v>133.5</v>
      </c>
    </row>
    <row r="25" spans="1:6" x14ac:dyDescent="0.45">
      <c r="A25" s="20">
        <v>24</v>
      </c>
      <c r="B25" s="9" t="s">
        <v>8</v>
      </c>
      <c r="C25" s="10" t="s">
        <v>13</v>
      </c>
      <c r="D25" s="11">
        <v>330</v>
      </c>
      <c r="E25" s="11">
        <f t="shared" si="0"/>
        <v>36.299999999999997</v>
      </c>
      <c r="F25" s="12">
        <f t="shared" si="1"/>
        <v>293.7</v>
      </c>
    </row>
    <row r="26" spans="1:6" x14ac:dyDescent="0.45">
      <c r="A26" s="20">
        <v>25</v>
      </c>
      <c r="B26" s="9" t="s">
        <v>9</v>
      </c>
      <c r="C26" s="10" t="s">
        <v>15</v>
      </c>
      <c r="D26" s="11">
        <v>260</v>
      </c>
      <c r="E26" s="11">
        <f t="shared" si="0"/>
        <v>28.6</v>
      </c>
      <c r="F26" s="12">
        <f t="shared" si="1"/>
        <v>231.4</v>
      </c>
    </row>
    <row r="27" spans="1:6" x14ac:dyDescent="0.45">
      <c r="A27" s="20">
        <v>26</v>
      </c>
      <c r="B27" s="9" t="s">
        <v>11</v>
      </c>
      <c r="C27" s="10" t="s">
        <v>14</v>
      </c>
      <c r="D27" s="11">
        <v>169</v>
      </c>
      <c r="E27" s="11">
        <f t="shared" si="0"/>
        <v>18.59</v>
      </c>
      <c r="F27" s="12">
        <f t="shared" si="1"/>
        <v>150.41</v>
      </c>
    </row>
    <row r="28" spans="1:6" x14ac:dyDescent="0.45">
      <c r="A28" s="20">
        <v>27</v>
      </c>
      <c r="B28" s="9" t="s">
        <v>7</v>
      </c>
      <c r="C28" s="10" t="s">
        <v>12</v>
      </c>
      <c r="D28" s="11">
        <v>150</v>
      </c>
      <c r="E28" s="11">
        <f t="shared" si="0"/>
        <v>16.5</v>
      </c>
      <c r="F28" s="12">
        <f t="shared" si="1"/>
        <v>133.5</v>
      </c>
    </row>
    <row r="29" spans="1:6" x14ac:dyDescent="0.45">
      <c r="A29" s="20">
        <v>28</v>
      </c>
      <c r="B29" s="9" t="s">
        <v>9</v>
      </c>
      <c r="C29" s="10" t="s">
        <v>17</v>
      </c>
      <c r="D29" s="11">
        <v>260</v>
      </c>
      <c r="E29" s="11">
        <f t="shared" si="0"/>
        <v>28.6</v>
      </c>
      <c r="F29" s="12">
        <f t="shared" si="1"/>
        <v>231.4</v>
      </c>
    </row>
    <row r="30" spans="1:6" x14ac:dyDescent="0.45">
      <c r="A30" s="20">
        <v>29</v>
      </c>
      <c r="B30" s="9" t="s">
        <v>7</v>
      </c>
      <c r="C30" s="10" t="s">
        <v>12</v>
      </c>
      <c r="D30" s="11">
        <v>150</v>
      </c>
      <c r="E30" s="11">
        <f t="shared" si="0"/>
        <v>16.5</v>
      </c>
      <c r="F30" s="12">
        <f t="shared" si="1"/>
        <v>133.5</v>
      </c>
    </row>
    <row r="31" spans="1:6" x14ac:dyDescent="0.45">
      <c r="A31" s="20">
        <v>30</v>
      </c>
      <c r="B31" s="9" t="s">
        <v>7</v>
      </c>
      <c r="C31" s="10" t="s">
        <v>13</v>
      </c>
      <c r="D31" s="11">
        <v>150</v>
      </c>
      <c r="E31" s="11">
        <f t="shared" si="0"/>
        <v>16.5</v>
      </c>
      <c r="F31" s="12">
        <f t="shared" si="1"/>
        <v>133.5</v>
      </c>
    </row>
    <row r="32" spans="1:6" x14ac:dyDescent="0.45">
      <c r="A32" s="20">
        <v>31</v>
      </c>
      <c r="B32" s="9" t="s">
        <v>7</v>
      </c>
      <c r="C32" s="10" t="s">
        <v>12</v>
      </c>
      <c r="D32" s="11">
        <v>150</v>
      </c>
      <c r="E32" s="11">
        <f t="shared" si="0"/>
        <v>16.5</v>
      </c>
      <c r="F32" s="12">
        <f t="shared" si="1"/>
        <v>133.5</v>
      </c>
    </row>
    <row r="33" spans="1:6" x14ac:dyDescent="0.45">
      <c r="A33" s="20">
        <v>32</v>
      </c>
      <c r="B33" s="9" t="s">
        <v>7</v>
      </c>
      <c r="C33" s="10" t="s">
        <v>13</v>
      </c>
      <c r="D33" s="11">
        <v>150</v>
      </c>
      <c r="E33" s="11">
        <f t="shared" si="0"/>
        <v>16.5</v>
      </c>
      <c r="F33" s="12">
        <f t="shared" si="1"/>
        <v>133.5</v>
      </c>
    </row>
    <row r="34" spans="1:6" x14ac:dyDescent="0.45">
      <c r="A34" s="20">
        <v>33</v>
      </c>
      <c r="B34" s="9" t="s">
        <v>9</v>
      </c>
      <c r="C34" s="10" t="s">
        <v>13</v>
      </c>
      <c r="D34" s="11">
        <v>260</v>
      </c>
      <c r="E34" s="11">
        <f t="shared" si="0"/>
        <v>28.6</v>
      </c>
      <c r="F34" s="12">
        <f t="shared" si="1"/>
        <v>231.4</v>
      </c>
    </row>
    <row r="35" spans="1:6" x14ac:dyDescent="0.45">
      <c r="A35" s="20">
        <v>34</v>
      </c>
      <c r="B35" s="9" t="s">
        <v>7</v>
      </c>
      <c r="C35" s="10" t="s">
        <v>13</v>
      </c>
      <c r="D35" s="11">
        <v>150</v>
      </c>
      <c r="E35" s="11">
        <f t="shared" si="0"/>
        <v>16.5</v>
      </c>
      <c r="F35" s="12">
        <f t="shared" si="1"/>
        <v>133.5</v>
      </c>
    </row>
    <row r="36" spans="1:6" x14ac:dyDescent="0.45">
      <c r="A36" s="20">
        <v>35</v>
      </c>
      <c r="B36" s="9" t="s">
        <v>7</v>
      </c>
      <c r="C36" s="10" t="s">
        <v>12</v>
      </c>
      <c r="D36" s="11">
        <v>150</v>
      </c>
      <c r="E36" s="11">
        <f t="shared" si="0"/>
        <v>16.5</v>
      </c>
      <c r="F36" s="12">
        <f t="shared" si="1"/>
        <v>133.5</v>
      </c>
    </row>
    <row r="37" spans="1:6" x14ac:dyDescent="0.45">
      <c r="A37" s="20">
        <v>36</v>
      </c>
      <c r="B37" s="9" t="s">
        <v>7</v>
      </c>
      <c r="C37" s="10" t="s">
        <v>12</v>
      </c>
      <c r="D37" s="11">
        <v>150</v>
      </c>
      <c r="E37" s="11">
        <f t="shared" si="0"/>
        <v>16.5</v>
      </c>
      <c r="F37" s="12">
        <f t="shared" si="1"/>
        <v>133.5</v>
      </c>
    </row>
    <row r="38" spans="1:6" x14ac:dyDescent="0.45">
      <c r="A38" s="20">
        <v>37</v>
      </c>
      <c r="B38" s="9" t="s">
        <v>7</v>
      </c>
      <c r="C38" s="10" t="s">
        <v>13</v>
      </c>
      <c r="D38" s="11">
        <v>150</v>
      </c>
      <c r="E38" s="11">
        <f t="shared" si="0"/>
        <v>16.5</v>
      </c>
      <c r="F38" s="12">
        <f t="shared" si="1"/>
        <v>133.5</v>
      </c>
    </row>
    <row r="39" spans="1:6" x14ac:dyDescent="0.45">
      <c r="A39" s="20">
        <v>38</v>
      </c>
      <c r="B39" s="9" t="s">
        <v>9</v>
      </c>
      <c r="C39" s="10" t="s">
        <v>15</v>
      </c>
      <c r="D39" s="11">
        <v>260</v>
      </c>
      <c r="E39" s="11">
        <f t="shared" si="0"/>
        <v>28.6</v>
      </c>
      <c r="F39" s="12">
        <f t="shared" si="1"/>
        <v>231.4</v>
      </c>
    </row>
    <row r="40" spans="1:6" x14ac:dyDescent="0.45">
      <c r="A40" s="20">
        <v>39</v>
      </c>
      <c r="B40" s="9" t="s">
        <v>8</v>
      </c>
      <c r="C40" s="10" t="s">
        <v>14</v>
      </c>
      <c r="D40" s="11">
        <v>330</v>
      </c>
      <c r="E40" s="11">
        <f t="shared" si="0"/>
        <v>36.299999999999997</v>
      </c>
      <c r="F40" s="12">
        <f t="shared" si="1"/>
        <v>293.7</v>
      </c>
    </row>
    <row r="41" spans="1:6" x14ac:dyDescent="0.45">
      <c r="A41" s="20">
        <v>40</v>
      </c>
      <c r="B41" s="9" t="s">
        <v>8</v>
      </c>
      <c r="C41" s="10" t="s">
        <v>12</v>
      </c>
      <c r="D41" s="11">
        <v>330</v>
      </c>
      <c r="E41" s="11">
        <f t="shared" si="0"/>
        <v>36.299999999999997</v>
      </c>
      <c r="F41" s="12">
        <f t="shared" si="1"/>
        <v>293.7</v>
      </c>
    </row>
    <row r="42" spans="1:6" x14ac:dyDescent="0.45">
      <c r="A42" s="20">
        <v>41</v>
      </c>
      <c r="B42" s="9" t="s">
        <v>8</v>
      </c>
      <c r="C42" s="10" t="s">
        <v>13</v>
      </c>
      <c r="D42" s="11">
        <v>330</v>
      </c>
      <c r="E42" s="11">
        <f t="shared" si="0"/>
        <v>36.299999999999997</v>
      </c>
      <c r="F42" s="12">
        <f t="shared" si="1"/>
        <v>293.7</v>
      </c>
    </row>
    <row r="43" spans="1:6" x14ac:dyDescent="0.45">
      <c r="A43" s="20">
        <v>42</v>
      </c>
      <c r="B43" s="9" t="s">
        <v>7</v>
      </c>
      <c r="C43" s="10" t="s">
        <v>12</v>
      </c>
      <c r="D43" s="11">
        <v>150</v>
      </c>
      <c r="E43" s="11">
        <f t="shared" si="0"/>
        <v>16.5</v>
      </c>
      <c r="F43" s="12">
        <f t="shared" si="1"/>
        <v>133.5</v>
      </c>
    </row>
    <row r="44" spans="1:6" x14ac:dyDescent="0.45">
      <c r="A44" s="20">
        <v>43</v>
      </c>
      <c r="B44" s="9" t="s">
        <v>7</v>
      </c>
      <c r="C44" s="10" t="s">
        <v>17</v>
      </c>
      <c r="D44" s="11">
        <v>150</v>
      </c>
      <c r="E44" s="11">
        <f t="shared" si="0"/>
        <v>16.5</v>
      </c>
      <c r="F44" s="12">
        <f t="shared" si="1"/>
        <v>133.5</v>
      </c>
    </row>
    <row r="45" spans="1:6" x14ac:dyDescent="0.45">
      <c r="A45" s="20">
        <v>44</v>
      </c>
      <c r="B45" s="9" t="s">
        <v>10</v>
      </c>
      <c r="C45" s="10" t="s">
        <v>13</v>
      </c>
      <c r="D45" s="11">
        <v>180</v>
      </c>
      <c r="E45" s="11">
        <f t="shared" si="0"/>
        <v>19.8</v>
      </c>
      <c r="F45" s="12">
        <f t="shared" si="1"/>
        <v>160.19999999999999</v>
      </c>
    </row>
    <row r="46" spans="1:6" x14ac:dyDescent="0.45">
      <c r="A46" s="20">
        <v>45</v>
      </c>
      <c r="B46" s="9" t="s">
        <v>7</v>
      </c>
      <c r="C46" s="10" t="s">
        <v>12</v>
      </c>
      <c r="D46" s="11">
        <v>150</v>
      </c>
      <c r="E46" s="11">
        <f t="shared" si="0"/>
        <v>16.5</v>
      </c>
      <c r="F46" s="12">
        <f t="shared" si="1"/>
        <v>133.5</v>
      </c>
    </row>
    <row r="47" spans="1:6" x14ac:dyDescent="0.45">
      <c r="A47" s="20">
        <v>46</v>
      </c>
      <c r="B47" s="9" t="s">
        <v>10</v>
      </c>
      <c r="C47" s="10" t="s">
        <v>13</v>
      </c>
      <c r="D47" s="11">
        <v>180</v>
      </c>
      <c r="E47" s="11">
        <f t="shared" si="0"/>
        <v>19.8</v>
      </c>
      <c r="F47" s="12">
        <f t="shared" si="1"/>
        <v>160.19999999999999</v>
      </c>
    </row>
    <row r="48" spans="1:6" x14ac:dyDescent="0.45">
      <c r="A48" s="20">
        <v>47</v>
      </c>
      <c r="B48" s="9" t="s">
        <v>11</v>
      </c>
      <c r="C48" s="10" t="s">
        <v>14</v>
      </c>
      <c r="D48" s="11">
        <v>169</v>
      </c>
      <c r="E48" s="11">
        <f t="shared" si="0"/>
        <v>18.59</v>
      </c>
      <c r="F48" s="12">
        <f t="shared" si="1"/>
        <v>150.41</v>
      </c>
    </row>
    <row r="49" spans="1:6" x14ac:dyDescent="0.45">
      <c r="A49" s="20">
        <v>48</v>
      </c>
      <c r="B49" s="9" t="s">
        <v>7</v>
      </c>
      <c r="C49" s="10" t="s">
        <v>17</v>
      </c>
      <c r="D49" s="11">
        <v>150</v>
      </c>
      <c r="E49" s="11">
        <f t="shared" si="0"/>
        <v>16.5</v>
      </c>
      <c r="F49" s="12">
        <f t="shared" si="1"/>
        <v>133.5</v>
      </c>
    </row>
    <row r="50" spans="1:6" x14ac:dyDescent="0.45">
      <c r="A50" s="20">
        <v>49</v>
      </c>
      <c r="B50" s="9" t="s">
        <v>7</v>
      </c>
      <c r="C50" s="10" t="s">
        <v>15</v>
      </c>
      <c r="D50" s="11">
        <v>150</v>
      </c>
      <c r="E50" s="11">
        <f t="shared" si="0"/>
        <v>16.5</v>
      </c>
      <c r="F50" s="12">
        <f t="shared" si="1"/>
        <v>133.5</v>
      </c>
    </row>
    <row r="51" spans="1:6" x14ac:dyDescent="0.45">
      <c r="A51" s="20">
        <v>50</v>
      </c>
      <c r="B51" s="9" t="s">
        <v>7</v>
      </c>
      <c r="C51" s="10" t="s">
        <v>12</v>
      </c>
      <c r="D51" s="11">
        <v>150</v>
      </c>
      <c r="E51" s="11">
        <f t="shared" si="0"/>
        <v>16.5</v>
      </c>
      <c r="F51" s="12">
        <f t="shared" si="1"/>
        <v>133.5</v>
      </c>
    </row>
    <row r="52" spans="1:6" x14ac:dyDescent="0.45">
      <c r="A52" s="20">
        <v>51</v>
      </c>
      <c r="B52" s="9" t="s">
        <v>7</v>
      </c>
      <c r="C52" s="10" t="s">
        <v>13</v>
      </c>
      <c r="D52" s="11">
        <v>150</v>
      </c>
      <c r="E52" s="11">
        <f t="shared" si="0"/>
        <v>16.5</v>
      </c>
      <c r="F52" s="12">
        <f t="shared" si="1"/>
        <v>133.5</v>
      </c>
    </row>
    <row r="53" spans="1:6" x14ac:dyDescent="0.45">
      <c r="A53" s="20">
        <v>52</v>
      </c>
      <c r="B53" s="9" t="s">
        <v>8</v>
      </c>
      <c r="C53" s="10" t="s">
        <v>12</v>
      </c>
      <c r="D53" s="11">
        <v>330</v>
      </c>
      <c r="E53" s="11">
        <f t="shared" si="0"/>
        <v>36.299999999999997</v>
      </c>
      <c r="F53" s="12">
        <f t="shared" si="1"/>
        <v>293.7</v>
      </c>
    </row>
    <row r="54" spans="1:6" x14ac:dyDescent="0.45">
      <c r="A54" s="20">
        <v>53</v>
      </c>
      <c r="B54" s="9" t="s">
        <v>7</v>
      </c>
      <c r="C54" s="10" t="s">
        <v>12</v>
      </c>
      <c r="D54" s="11">
        <v>150</v>
      </c>
      <c r="E54" s="11">
        <f t="shared" si="0"/>
        <v>16.5</v>
      </c>
      <c r="F54" s="12">
        <f t="shared" si="1"/>
        <v>133.5</v>
      </c>
    </row>
    <row r="55" spans="1:6" x14ac:dyDescent="0.45">
      <c r="A55" s="20">
        <v>54</v>
      </c>
      <c r="B55" s="9" t="s">
        <v>7</v>
      </c>
      <c r="C55" s="10" t="s">
        <v>12</v>
      </c>
      <c r="D55" s="11">
        <v>150</v>
      </c>
      <c r="E55" s="11">
        <f t="shared" si="0"/>
        <v>16.5</v>
      </c>
      <c r="F55" s="12">
        <f t="shared" si="1"/>
        <v>133.5</v>
      </c>
    </row>
    <row r="56" spans="1:6" x14ac:dyDescent="0.45">
      <c r="A56" s="20">
        <v>55</v>
      </c>
      <c r="B56" s="9" t="s">
        <v>9</v>
      </c>
      <c r="C56" s="10" t="s">
        <v>13</v>
      </c>
      <c r="D56" s="11">
        <v>260</v>
      </c>
      <c r="E56" s="11">
        <f t="shared" si="0"/>
        <v>28.6</v>
      </c>
      <c r="F56" s="12">
        <f t="shared" si="1"/>
        <v>231.4</v>
      </c>
    </row>
    <row r="57" spans="1:6" x14ac:dyDescent="0.45">
      <c r="A57" s="20">
        <v>56</v>
      </c>
      <c r="B57" s="9" t="s">
        <v>9</v>
      </c>
      <c r="C57" s="10" t="s">
        <v>15</v>
      </c>
      <c r="D57" s="11">
        <v>260</v>
      </c>
      <c r="E57" s="11">
        <f t="shared" si="0"/>
        <v>28.6</v>
      </c>
      <c r="F57" s="12">
        <f t="shared" si="1"/>
        <v>231.4</v>
      </c>
    </row>
    <row r="58" spans="1:6" x14ac:dyDescent="0.45">
      <c r="A58" s="20">
        <v>57</v>
      </c>
      <c r="B58" s="9" t="s">
        <v>7</v>
      </c>
      <c r="C58" s="10" t="s">
        <v>12</v>
      </c>
      <c r="D58" s="11">
        <v>150</v>
      </c>
      <c r="E58" s="11">
        <f t="shared" si="0"/>
        <v>16.5</v>
      </c>
      <c r="F58" s="12">
        <f t="shared" si="1"/>
        <v>133.5</v>
      </c>
    </row>
    <row r="59" spans="1:6" x14ac:dyDescent="0.45">
      <c r="A59" s="20">
        <v>58</v>
      </c>
      <c r="B59" s="9" t="s">
        <v>11</v>
      </c>
      <c r="C59" s="10" t="s">
        <v>14</v>
      </c>
      <c r="D59" s="11">
        <v>169</v>
      </c>
      <c r="E59" s="11">
        <f t="shared" si="0"/>
        <v>18.59</v>
      </c>
      <c r="F59" s="12">
        <f t="shared" si="1"/>
        <v>150.41</v>
      </c>
    </row>
    <row r="60" spans="1:6" x14ac:dyDescent="0.45">
      <c r="A60" s="20">
        <v>59</v>
      </c>
      <c r="B60" s="9" t="s">
        <v>8</v>
      </c>
      <c r="C60" s="10" t="s">
        <v>15</v>
      </c>
      <c r="D60" s="11">
        <v>330</v>
      </c>
      <c r="E60" s="11">
        <f t="shared" si="0"/>
        <v>36.299999999999997</v>
      </c>
      <c r="F60" s="12">
        <f t="shared" si="1"/>
        <v>293.7</v>
      </c>
    </row>
    <row r="61" spans="1:6" x14ac:dyDescent="0.45">
      <c r="A61" s="20">
        <v>60</v>
      </c>
      <c r="B61" s="9" t="s">
        <v>7</v>
      </c>
      <c r="C61" s="10" t="s">
        <v>13</v>
      </c>
      <c r="D61" s="11">
        <v>150</v>
      </c>
      <c r="E61" s="11">
        <f t="shared" si="0"/>
        <v>16.5</v>
      </c>
      <c r="F61" s="12">
        <f t="shared" si="1"/>
        <v>133.5</v>
      </c>
    </row>
    <row r="62" spans="1:6" x14ac:dyDescent="0.45">
      <c r="A62" s="20">
        <v>61</v>
      </c>
      <c r="B62" s="9" t="s">
        <v>11</v>
      </c>
      <c r="C62" s="10" t="s">
        <v>14</v>
      </c>
      <c r="D62" s="11">
        <v>169</v>
      </c>
      <c r="E62" s="11">
        <f t="shared" si="0"/>
        <v>18.59</v>
      </c>
      <c r="F62" s="12">
        <f t="shared" si="1"/>
        <v>150.41</v>
      </c>
    </row>
    <row r="63" spans="1:6" x14ac:dyDescent="0.45">
      <c r="A63" s="20">
        <v>62</v>
      </c>
      <c r="B63" s="9" t="s">
        <v>7</v>
      </c>
      <c r="C63" s="10" t="s">
        <v>13</v>
      </c>
      <c r="D63" s="11">
        <v>150</v>
      </c>
      <c r="E63" s="11">
        <f t="shared" si="0"/>
        <v>16.5</v>
      </c>
      <c r="F63" s="12">
        <f t="shared" si="1"/>
        <v>133.5</v>
      </c>
    </row>
    <row r="64" spans="1:6" x14ac:dyDescent="0.45">
      <c r="A64" s="20">
        <v>63</v>
      </c>
      <c r="B64" s="9" t="s">
        <v>7</v>
      </c>
      <c r="C64" s="10" t="s">
        <v>12</v>
      </c>
      <c r="D64" s="11">
        <v>150</v>
      </c>
      <c r="E64" s="11">
        <f t="shared" si="0"/>
        <v>16.5</v>
      </c>
      <c r="F64" s="12">
        <f t="shared" si="1"/>
        <v>133.5</v>
      </c>
    </row>
    <row r="65" spans="1:6" x14ac:dyDescent="0.45">
      <c r="A65" s="20">
        <v>64</v>
      </c>
      <c r="B65" s="9" t="s">
        <v>7</v>
      </c>
      <c r="C65" s="10" t="s">
        <v>12</v>
      </c>
      <c r="D65" s="11">
        <v>150</v>
      </c>
      <c r="E65" s="11">
        <f t="shared" si="0"/>
        <v>16.5</v>
      </c>
      <c r="F65" s="12">
        <f t="shared" si="1"/>
        <v>133.5</v>
      </c>
    </row>
    <row r="66" spans="1:6" x14ac:dyDescent="0.45">
      <c r="A66" s="20">
        <v>65</v>
      </c>
      <c r="B66" s="9" t="s">
        <v>9</v>
      </c>
      <c r="C66" s="10" t="s">
        <v>13</v>
      </c>
      <c r="D66" s="11">
        <v>260</v>
      </c>
      <c r="E66" s="11">
        <f t="shared" si="0"/>
        <v>28.6</v>
      </c>
      <c r="F66" s="12">
        <f t="shared" si="1"/>
        <v>231.4</v>
      </c>
    </row>
    <row r="67" spans="1:6" x14ac:dyDescent="0.45">
      <c r="A67" s="20">
        <v>66</v>
      </c>
      <c r="B67" s="9" t="s">
        <v>9</v>
      </c>
      <c r="C67" s="10" t="s">
        <v>13</v>
      </c>
      <c r="D67" s="11">
        <v>260</v>
      </c>
      <c r="E67" s="11">
        <f t="shared" ref="E67:E101" si="2">ROUND(D67*11%,2)</f>
        <v>28.6</v>
      </c>
      <c r="F67" s="12">
        <f t="shared" ref="F67:F101" si="3">D67-E67</f>
        <v>231.4</v>
      </c>
    </row>
    <row r="68" spans="1:6" x14ac:dyDescent="0.45">
      <c r="A68" s="20">
        <v>67</v>
      </c>
      <c r="B68" s="9" t="s">
        <v>9</v>
      </c>
      <c r="C68" s="10" t="s">
        <v>13</v>
      </c>
      <c r="D68" s="11">
        <v>260</v>
      </c>
      <c r="E68" s="11">
        <f t="shared" si="2"/>
        <v>28.6</v>
      </c>
      <c r="F68" s="12">
        <f t="shared" si="3"/>
        <v>231.4</v>
      </c>
    </row>
    <row r="69" spans="1:6" x14ac:dyDescent="0.45">
      <c r="A69" s="20">
        <v>68</v>
      </c>
      <c r="B69" s="9" t="s">
        <v>10</v>
      </c>
      <c r="C69" s="10" t="s">
        <v>13</v>
      </c>
      <c r="D69" s="11">
        <v>180</v>
      </c>
      <c r="E69" s="11">
        <f t="shared" si="2"/>
        <v>19.8</v>
      </c>
      <c r="F69" s="12">
        <f t="shared" si="3"/>
        <v>160.19999999999999</v>
      </c>
    </row>
    <row r="70" spans="1:6" x14ac:dyDescent="0.45">
      <c r="A70" s="20">
        <v>69</v>
      </c>
      <c r="B70" s="9" t="s">
        <v>10</v>
      </c>
      <c r="C70" s="10" t="s">
        <v>13</v>
      </c>
      <c r="D70" s="11">
        <v>180</v>
      </c>
      <c r="E70" s="11">
        <f t="shared" si="2"/>
        <v>19.8</v>
      </c>
      <c r="F70" s="12">
        <f t="shared" si="3"/>
        <v>160.19999999999999</v>
      </c>
    </row>
    <row r="71" spans="1:6" x14ac:dyDescent="0.45">
      <c r="A71" s="20">
        <v>70</v>
      </c>
      <c r="B71" s="9" t="s">
        <v>8</v>
      </c>
      <c r="C71" s="10" t="s">
        <v>17</v>
      </c>
      <c r="D71" s="11">
        <v>330</v>
      </c>
      <c r="E71" s="11">
        <f t="shared" si="2"/>
        <v>36.299999999999997</v>
      </c>
      <c r="F71" s="12">
        <f t="shared" si="3"/>
        <v>293.7</v>
      </c>
    </row>
    <row r="72" spans="1:6" x14ac:dyDescent="0.45">
      <c r="A72" s="20">
        <v>71</v>
      </c>
      <c r="B72" s="9" t="s">
        <v>7</v>
      </c>
      <c r="C72" s="10" t="s">
        <v>12</v>
      </c>
      <c r="D72" s="11">
        <v>150</v>
      </c>
      <c r="E72" s="11">
        <f>ROUND(D72*1%,2)</f>
        <v>1.5</v>
      </c>
      <c r="F72" s="12">
        <f t="shared" si="3"/>
        <v>148.5</v>
      </c>
    </row>
    <row r="73" spans="1:6" x14ac:dyDescent="0.45">
      <c r="A73" s="20">
        <v>72</v>
      </c>
      <c r="B73" s="9" t="s">
        <v>7</v>
      </c>
      <c r="C73" s="10" t="s">
        <v>17</v>
      </c>
      <c r="D73" s="11">
        <v>150</v>
      </c>
      <c r="E73" s="11">
        <f t="shared" si="2"/>
        <v>16.5</v>
      </c>
      <c r="F73" s="12">
        <f t="shared" si="3"/>
        <v>133.5</v>
      </c>
    </row>
    <row r="74" spans="1:6" x14ac:dyDescent="0.45">
      <c r="A74" s="20">
        <v>73</v>
      </c>
      <c r="B74" s="9" t="s">
        <v>7</v>
      </c>
      <c r="C74" s="10" t="s">
        <v>13</v>
      </c>
      <c r="D74" s="11">
        <v>150</v>
      </c>
      <c r="E74" s="11">
        <f t="shared" si="2"/>
        <v>16.5</v>
      </c>
      <c r="F74" s="12">
        <f t="shared" si="3"/>
        <v>133.5</v>
      </c>
    </row>
    <row r="75" spans="1:6" x14ac:dyDescent="0.45">
      <c r="A75" s="20">
        <v>74</v>
      </c>
      <c r="B75" s="9" t="s">
        <v>7</v>
      </c>
      <c r="C75" s="10" t="s">
        <v>12</v>
      </c>
      <c r="D75" s="11">
        <v>150</v>
      </c>
      <c r="E75" s="11">
        <f t="shared" si="2"/>
        <v>16.5</v>
      </c>
      <c r="F75" s="12">
        <f t="shared" si="3"/>
        <v>133.5</v>
      </c>
    </row>
    <row r="76" spans="1:6" x14ac:dyDescent="0.45">
      <c r="A76" s="20">
        <v>75</v>
      </c>
      <c r="B76" s="9" t="s">
        <v>7</v>
      </c>
      <c r="C76" s="10" t="s">
        <v>12</v>
      </c>
      <c r="D76" s="11">
        <v>150</v>
      </c>
      <c r="E76" s="11">
        <f t="shared" si="2"/>
        <v>16.5</v>
      </c>
      <c r="F76" s="12">
        <f t="shared" si="3"/>
        <v>133.5</v>
      </c>
    </row>
    <row r="77" spans="1:6" x14ac:dyDescent="0.45">
      <c r="A77" s="20">
        <v>76</v>
      </c>
      <c r="B77" s="9" t="s">
        <v>10</v>
      </c>
      <c r="C77" s="10" t="s">
        <v>13</v>
      </c>
      <c r="D77" s="11">
        <v>180</v>
      </c>
      <c r="E77" s="11">
        <f t="shared" si="2"/>
        <v>19.8</v>
      </c>
      <c r="F77" s="12">
        <f t="shared" si="3"/>
        <v>160.19999999999999</v>
      </c>
    </row>
    <row r="78" spans="1:6" x14ac:dyDescent="0.45">
      <c r="A78" s="20">
        <v>77</v>
      </c>
      <c r="B78" s="9" t="s">
        <v>10</v>
      </c>
      <c r="C78" s="10" t="s">
        <v>13</v>
      </c>
      <c r="D78" s="11">
        <v>180</v>
      </c>
      <c r="E78" s="11">
        <f t="shared" si="2"/>
        <v>19.8</v>
      </c>
      <c r="F78" s="12">
        <f t="shared" si="3"/>
        <v>160.19999999999999</v>
      </c>
    </row>
    <row r="79" spans="1:6" x14ac:dyDescent="0.45">
      <c r="A79" s="20">
        <v>78</v>
      </c>
      <c r="B79" s="9" t="s">
        <v>10</v>
      </c>
      <c r="C79" s="10" t="s">
        <v>13</v>
      </c>
      <c r="D79" s="11">
        <v>180</v>
      </c>
      <c r="E79" s="11">
        <f t="shared" si="2"/>
        <v>19.8</v>
      </c>
      <c r="F79" s="12">
        <f t="shared" si="3"/>
        <v>160.19999999999999</v>
      </c>
    </row>
    <row r="80" spans="1:6" x14ac:dyDescent="0.45">
      <c r="A80" s="20">
        <v>79</v>
      </c>
      <c r="B80" s="9" t="s">
        <v>7</v>
      </c>
      <c r="C80" s="10" t="s">
        <v>17</v>
      </c>
      <c r="D80" s="11">
        <v>150</v>
      </c>
      <c r="E80" s="11">
        <f t="shared" si="2"/>
        <v>16.5</v>
      </c>
      <c r="F80" s="12">
        <f t="shared" si="3"/>
        <v>133.5</v>
      </c>
    </row>
    <row r="81" spans="1:6" x14ac:dyDescent="0.45">
      <c r="A81" s="20">
        <v>80</v>
      </c>
      <c r="B81" s="9" t="s">
        <v>7</v>
      </c>
      <c r="C81" s="10" t="s">
        <v>13</v>
      </c>
      <c r="D81" s="11">
        <v>150</v>
      </c>
      <c r="E81" s="11">
        <f t="shared" si="2"/>
        <v>16.5</v>
      </c>
      <c r="F81" s="12">
        <f t="shared" si="3"/>
        <v>133.5</v>
      </c>
    </row>
    <row r="82" spans="1:6" x14ac:dyDescent="0.45">
      <c r="A82" s="20">
        <v>81</v>
      </c>
      <c r="B82" s="9" t="s">
        <v>7</v>
      </c>
      <c r="C82" s="10" t="s">
        <v>12</v>
      </c>
      <c r="D82" s="11">
        <v>150</v>
      </c>
      <c r="E82" s="11">
        <f t="shared" si="2"/>
        <v>16.5</v>
      </c>
      <c r="F82" s="12">
        <f t="shared" si="3"/>
        <v>133.5</v>
      </c>
    </row>
    <row r="83" spans="1:6" x14ac:dyDescent="0.45">
      <c r="A83" s="20">
        <v>82</v>
      </c>
      <c r="B83" s="9" t="s">
        <v>8</v>
      </c>
      <c r="C83" s="10" t="s">
        <v>12</v>
      </c>
      <c r="D83" s="11">
        <v>330</v>
      </c>
      <c r="E83" s="11">
        <f t="shared" si="2"/>
        <v>36.299999999999997</v>
      </c>
      <c r="F83" s="12">
        <f t="shared" si="3"/>
        <v>293.7</v>
      </c>
    </row>
    <row r="84" spans="1:6" x14ac:dyDescent="0.45">
      <c r="A84" s="20">
        <v>83</v>
      </c>
      <c r="B84" s="9" t="s">
        <v>7</v>
      </c>
      <c r="C84" s="10" t="s">
        <v>13</v>
      </c>
      <c r="D84" s="11">
        <v>150</v>
      </c>
      <c r="E84" s="11">
        <f t="shared" si="2"/>
        <v>16.5</v>
      </c>
      <c r="F84" s="12">
        <f t="shared" si="3"/>
        <v>133.5</v>
      </c>
    </row>
    <row r="85" spans="1:6" x14ac:dyDescent="0.45">
      <c r="A85" s="20">
        <v>84</v>
      </c>
      <c r="B85" s="9" t="s">
        <v>9</v>
      </c>
      <c r="C85" s="10" t="s">
        <v>17</v>
      </c>
      <c r="D85" s="11">
        <v>260</v>
      </c>
      <c r="E85" s="11">
        <f t="shared" si="2"/>
        <v>28.6</v>
      </c>
      <c r="F85" s="12">
        <f t="shared" si="3"/>
        <v>231.4</v>
      </c>
    </row>
    <row r="86" spans="1:6" x14ac:dyDescent="0.45">
      <c r="A86" s="20">
        <v>85</v>
      </c>
      <c r="B86" s="9" t="s">
        <v>7</v>
      </c>
      <c r="C86" s="10" t="s">
        <v>12</v>
      </c>
      <c r="D86" s="11">
        <v>150</v>
      </c>
      <c r="E86" s="11">
        <f t="shared" si="2"/>
        <v>16.5</v>
      </c>
      <c r="F86" s="12">
        <f t="shared" si="3"/>
        <v>133.5</v>
      </c>
    </row>
    <row r="87" spans="1:6" x14ac:dyDescent="0.45">
      <c r="A87" s="20">
        <v>86</v>
      </c>
      <c r="B87" s="9" t="s">
        <v>10</v>
      </c>
      <c r="C87" s="10" t="s">
        <v>13</v>
      </c>
      <c r="D87" s="11">
        <v>180</v>
      </c>
      <c r="E87" s="11">
        <f t="shared" si="2"/>
        <v>19.8</v>
      </c>
      <c r="F87" s="12">
        <f t="shared" si="3"/>
        <v>160.19999999999999</v>
      </c>
    </row>
    <row r="88" spans="1:6" x14ac:dyDescent="0.45">
      <c r="A88" s="20">
        <v>87</v>
      </c>
      <c r="B88" s="9" t="s">
        <v>8</v>
      </c>
      <c r="C88" s="10" t="s">
        <v>12</v>
      </c>
      <c r="D88" s="11">
        <v>330</v>
      </c>
      <c r="E88" s="11">
        <f t="shared" si="2"/>
        <v>36.299999999999997</v>
      </c>
      <c r="F88" s="12">
        <f t="shared" si="3"/>
        <v>293.7</v>
      </c>
    </row>
    <row r="89" spans="1:6" x14ac:dyDescent="0.45">
      <c r="A89" s="20">
        <v>88</v>
      </c>
      <c r="B89" s="9" t="s">
        <v>11</v>
      </c>
      <c r="C89" s="10" t="s">
        <v>14</v>
      </c>
      <c r="D89" s="11">
        <v>169</v>
      </c>
      <c r="E89" s="11">
        <f t="shared" si="2"/>
        <v>18.59</v>
      </c>
      <c r="F89" s="12">
        <f t="shared" si="3"/>
        <v>150.41</v>
      </c>
    </row>
    <row r="90" spans="1:6" x14ac:dyDescent="0.45">
      <c r="A90" s="20">
        <v>89</v>
      </c>
      <c r="B90" s="9" t="s">
        <v>7</v>
      </c>
      <c r="C90" s="10" t="s">
        <v>12</v>
      </c>
      <c r="D90" s="11">
        <v>150</v>
      </c>
      <c r="E90" s="11">
        <f t="shared" si="2"/>
        <v>16.5</v>
      </c>
      <c r="F90" s="12">
        <f t="shared" si="3"/>
        <v>133.5</v>
      </c>
    </row>
    <row r="91" spans="1:6" x14ac:dyDescent="0.45">
      <c r="A91" s="20">
        <v>90</v>
      </c>
      <c r="B91" s="9" t="s">
        <v>11</v>
      </c>
      <c r="C91" s="10" t="s">
        <v>12</v>
      </c>
      <c r="D91" s="11">
        <v>169</v>
      </c>
      <c r="E91" s="11">
        <f t="shared" si="2"/>
        <v>18.59</v>
      </c>
      <c r="F91" s="12">
        <f t="shared" si="3"/>
        <v>150.41</v>
      </c>
    </row>
    <row r="92" spans="1:6" x14ac:dyDescent="0.45">
      <c r="A92" s="20">
        <v>91</v>
      </c>
      <c r="B92" s="9" t="s">
        <v>7</v>
      </c>
      <c r="C92" s="10" t="s">
        <v>13</v>
      </c>
      <c r="D92" s="11">
        <v>150</v>
      </c>
      <c r="E92" s="11">
        <f t="shared" si="2"/>
        <v>16.5</v>
      </c>
      <c r="F92" s="12">
        <f t="shared" si="3"/>
        <v>133.5</v>
      </c>
    </row>
    <row r="93" spans="1:6" x14ac:dyDescent="0.45">
      <c r="A93" s="20">
        <v>92</v>
      </c>
      <c r="B93" s="9" t="s">
        <v>7</v>
      </c>
      <c r="C93" s="10" t="s">
        <v>12</v>
      </c>
      <c r="D93" s="11">
        <v>150</v>
      </c>
      <c r="E93" s="11">
        <f t="shared" si="2"/>
        <v>16.5</v>
      </c>
      <c r="F93" s="12">
        <f t="shared" si="3"/>
        <v>133.5</v>
      </c>
    </row>
    <row r="94" spans="1:6" x14ac:dyDescent="0.45">
      <c r="A94" s="20">
        <v>93</v>
      </c>
      <c r="B94" s="9" t="s">
        <v>7</v>
      </c>
      <c r="C94" s="10" t="s">
        <v>15</v>
      </c>
      <c r="D94" s="11">
        <v>150</v>
      </c>
      <c r="E94" s="11">
        <f t="shared" si="2"/>
        <v>16.5</v>
      </c>
      <c r="F94" s="12">
        <f t="shared" si="3"/>
        <v>133.5</v>
      </c>
    </row>
    <row r="95" spans="1:6" x14ac:dyDescent="0.45">
      <c r="A95" s="20">
        <v>94</v>
      </c>
      <c r="B95" s="9" t="s">
        <v>10</v>
      </c>
      <c r="C95" s="10" t="s">
        <v>17</v>
      </c>
      <c r="D95" s="11">
        <v>180</v>
      </c>
      <c r="E95" s="11">
        <f t="shared" si="2"/>
        <v>19.8</v>
      </c>
      <c r="F95" s="12">
        <f t="shared" si="3"/>
        <v>160.19999999999999</v>
      </c>
    </row>
    <row r="96" spans="1:6" x14ac:dyDescent="0.45">
      <c r="A96" s="20">
        <v>95</v>
      </c>
      <c r="B96" s="9" t="s">
        <v>9</v>
      </c>
      <c r="C96" s="10" t="s">
        <v>15</v>
      </c>
      <c r="D96" s="11">
        <v>260</v>
      </c>
      <c r="E96" s="11">
        <f t="shared" si="2"/>
        <v>28.6</v>
      </c>
      <c r="F96" s="12">
        <f t="shared" si="3"/>
        <v>231.4</v>
      </c>
    </row>
    <row r="97" spans="1:6" x14ac:dyDescent="0.45">
      <c r="A97" s="20">
        <v>96</v>
      </c>
      <c r="B97" s="9" t="s">
        <v>10</v>
      </c>
      <c r="C97" s="10" t="s">
        <v>13</v>
      </c>
      <c r="D97" s="11">
        <v>180</v>
      </c>
      <c r="E97" s="11">
        <f t="shared" si="2"/>
        <v>19.8</v>
      </c>
      <c r="F97" s="12">
        <f t="shared" si="3"/>
        <v>160.19999999999999</v>
      </c>
    </row>
    <row r="98" spans="1:6" x14ac:dyDescent="0.45">
      <c r="A98" s="20">
        <v>97</v>
      </c>
      <c r="B98" s="9" t="s">
        <v>11</v>
      </c>
      <c r="C98" s="10" t="s">
        <v>17</v>
      </c>
      <c r="D98" s="11">
        <v>169</v>
      </c>
      <c r="E98" s="11">
        <f t="shared" si="2"/>
        <v>18.59</v>
      </c>
      <c r="F98" s="12">
        <f t="shared" si="3"/>
        <v>150.41</v>
      </c>
    </row>
    <row r="99" spans="1:6" x14ac:dyDescent="0.45">
      <c r="A99" s="20">
        <v>98</v>
      </c>
      <c r="B99" s="9" t="s">
        <v>7</v>
      </c>
      <c r="C99" s="10" t="s">
        <v>17</v>
      </c>
      <c r="D99" s="11">
        <v>150</v>
      </c>
      <c r="E99" s="11">
        <f t="shared" si="2"/>
        <v>16.5</v>
      </c>
      <c r="F99" s="12">
        <f t="shared" si="3"/>
        <v>133.5</v>
      </c>
    </row>
    <row r="100" spans="1:6" x14ac:dyDescent="0.45">
      <c r="A100" s="20">
        <v>99</v>
      </c>
      <c r="B100" s="9" t="s">
        <v>8</v>
      </c>
      <c r="C100" s="10" t="s">
        <v>12</v>
      </c>
      <c r="D100" s="11">
        <v>330</v>
      </c>
      <c r="E100" s="11">
        <f t="shared" si="2"/>
        <v>36.299999999999997</v>
      </c>
      <c r="F100" s="12">
        <f t="shared" si="3"/>
        <v>293.7</v>
      </c>
    </row>
    <row r="101" spans="1:6" x14ac:dyDescent="0.45">
      <c r="A101" s="20">
        <v>100</v>
      </c>
      <c r="B101" s="9" t="s">
        <v>8</v>
      </c>
      <c r="C101" s="10" t="s">
        <v>12</v>
      </c>
      <c r="D101" s="11">
        <v>330</v>
      </c>
      <c r="E101" s="11">
        <f t="shared" si="2"/>
        <v>36.299999999999997</v>
      </c>
      <c r="F101" s="12">
        <f t="shared" si="3"/>
        <v>293.7</v>
      </c>
    </row>
    <row r="102" spans="1:6" x14ac:dyDescent="0.45">
      <c r="B102" s="2"/>
      <c r="C102" s="3"/>
      <c r="D102" s="4"/>
      <c r="E102" s="4"/>
      <c r="F102" s="4"/>
    </row>
    <row r="103" spans="1:6" x14ac:dyDescent="0.45">
      <c r="B103" s="2"/>
      <c r="C103" s="3"/>
      <c r="D103" s="3"/>
      <c r="E103" s="3"/>
      <c r="F103" s="3"/>
    </row>
    <row r="104" spans="1:6" x14ac:dyDescent="0.45">
      <c r="B104" s="2"/>
      <c r="C104" s="3"/>
      <c r="D104" s="3"/>
      <c r="E104" s="3"/>
      <c r="F104" s="3"/>
    </row>
    <row r="105" spans="1:6" x14ac:dyDescent="0.45">
      <c r="B105" s="2"/>
      <c r="C105" s="3"/>
      <c r="D105" s="3"/>
      <c r="E105" s="3"/>
      <c r="F105" s="3"/>
    </row>
    <row r="106" spans="1:6" x14ac:dyDescent="0.45">
      <c r="B106" s="2"/>
      <c r="C106" s="3"/>
      <c r="D106" s="3"/>
      <c r="E106" s="3"/>
      <c r="F106" s="3"/>
    </row>
    <row r="107" spans="1:6" x14ac:dyDescent="0.45">
      <c r="B107" s="2"/>
      <c r="C107" s="3"/>
      <c r="D107" s="3"/>
      <c r="E107" s="3"/>
      <c r="F107" s="3"/>
    </row>
    <row r="108" spans="1:6" x14ac:dyDescent="0.45">
      <c r="B108" s="2"/>
      <c r="C108" s="3"/>
      <c r="D108" s="3"/>
      <c r="E108" s="3"/>
      <c r="F108" s="3"/>
    </row>
    <row r="109" spans="1:6" x14ac:dyDescent="0.45">
      <c r="B109" s="2"/>
      <c r="C109" s="3"/>
      <c r="D109" s="3"/>
      <c r="E109" s="3"/>
      <c r="F109" s="3"/>
    </row>
    <row r="110" spans="1:6" x14ac:dyDescent="0.45">
      <c r="B110" s="2"/>
      <c r="C110" s="3"/>
      <c r="D110" s="3"/>
      <c r="E110" s="3"/>
      <c r="F110" s="3"/>
    </row>
    <row r="111" spans="1:6" x14ac:dyDescent="0.45">
      <c r="B111" s="2"/>
      <c r="C111" s="3"/>
      <c r="D111" s="3"/>
      <c r="E111" s="3"/>
      <c r="F111" s="3"/>
    </row>
    <row r="112" spans="1:6" x14ac:dyDescent="0.45">
      <c r="B112" s="2"/>
      <c r="C112" s="3"/>
      <c r="D112" s="3"/>
      <c r="E112" s="3"/>
      <c r="F112" s="3"/>
    </row>
    <row r="113" spans="2:6" x14ac:dyDescent="0.45">
      <c r="B113" s="2"/>
      <c r="C113" s="3"/>
      <c r="D113" s="3"/>
      <c r="E113" s="3"/>
      <c r="F113" s="3"/>
    </row>
    <row r="114" spans="2:6" x14ac:dyDescent="0.45">
      <c r="B114" s="2"/>
      <c r="C114" s="3"/>
      <c r="D114" s="3"/>
      <c r="E114" s="3"/>
      <c r="F114" s="3"/>
    </row>
    <row r="115" spans="2:6" x14ac:dyDescent="0.45">
      <c r="B115" s="2"/>
      <c r="C115" s="3"/>
      <c r="D115" s="3"/>
      <c r="E115" s="3"/>
      <c r="F115" s="3"/>
    </row>
    <row r="116" spans="2:6" x14ac:dyDescent="0.45">
      <c r="B116" s="2"/>
      <c r="C116" s="3"/>
      <c r="D116" s="3"/>
      <c r="E116" s="3"/>
      <c r="F116" s="3"/>
    </row>
    <row r="117" spans="2:6" x14ac:dyDescent="0.45">
      <c r="B117" s="2"/>
      <c r="C117" s="3"/>
      <c r="D117" s="3"/>
      <c r="E117" s="3"/>
      <c r="F117" s="3"/>
    </row>
    <row r="118" spans="2:6" x14ac:dyDescent="0.45">
      <c r="B118" s="2"/>
      <c r="C118" s="3"/>
      <c r="D118" s="3"/>
      <c r="E118" s="3"/>
      <c r="F118" s="3"/>
    </row>
    <row r="119" spans="2:6" x14ac:dyDescent="0.45">
      <c r="B119" s="2"/>
      <c r="C119" s="3"/>
      <c r="D119" s="3"/>
      <c r="E119" s="3"/>
      <c r="F119" s="3"/>
    </row>
    <row r="120" spans="2:6" x14ac:dyDescent="0.45">
      <c r="B120" s="2"/>
      <c r="C120" s="3"/>
      <c r="D120" s="3"/>
      <c r="E120" s="3"/>
      <c r="F120" s="3"/>
    </row>
    <row r="121" spans="2:6" x14ac:dyDescent="0.45">
      <c r="B121" s="2"/>
      <c r="C121" s="3"/>
      <c r="D121" s="3"/>
      <c r="E121" s="3"/>
      <c r="F121" s="3"/>
    </row>
    <row r="122" spans="2:6" x14ac:dyDescent="0.45">
      <c r="B122" s="2"/>
      <c r="C122" s="3"/>
      <c r="D122" s="3"/>
      <c r="E122" s="3"/>
      <c r="F122" s="3"/>
    </row>
    <row r="123" spans="2:6" x14ac:dyDescent="0.45">
      <c r="B123" s="2"/>
      <c r="C123" s="3"/>
      <c r="D123" s="3"/>
      <c r="E123" s="3"/>
      <c r="F123" s="3"/>
    </row>
    <row r="124" spans="2:6" x14ac:dyDescent="0.45">
      <c r="B124" s="2"/>
      <c r="C124" s="3"/>
      <c r="D124" s="3"/>
      <c r="E124" s="3"/>
      <c r="F124" s="3"/>
    </row>
    <row r="125" spans="2:6" x14ac:dyDescent="0.45">
      <c r="B125" s="2"/>
      <c r="C125" s="3"/>
      <c r="D125" s="3"/>
      <c r="E125" s="3"/>
      <c r="F125" s="3"/>
    </row>
    <row r="126" spans="2:6" x14ac:dyDescent="0.45">
      <c r="B126" s="2"/>
      <c r="C126" s="3"/>
      <c r="D126" s="3"/>
      <c r="E126" s="3"/>
      <c r="F126" s="3"/>
    </row>
    <row r="127" spans="2:6" x14ac:dyDescent="0.45">
      <c r="B127" s="2"/>
      <c r="C127" s="3"/>
      <c r="D127" s="3"/>
      <c r="E127" s="3"/>
      <c r="F127" s="3"/>
    </row>
    <row r="128" spans="2:6" x14ac:dyDescent="0.45">
      <c r="B128" s="2"/>
      <c r="C128" s="3"/>
      <c r="D128" s="3"/>
      <c r="E128" s="3"/>
      <c r="F128" s="3"/>
    </row>
    <row r="129" spans="2:6" x14ac:dyDescent="0.45">
      <c r="B129" s="2"/>
      <c r="C129" s="3"/>
      <c r="D129" s="3"/>
      <c r="E129" s="3"/>
      <c r="F129" s="3"/>
    </row>
    <row r="130" spans="2:6" x14ac:dyDescent="0.45">
      <c r="B130" s="2"/>
      <c r="C130" s="3"/>
      <c r="D130" s="3"/>
      <c r="E130" s="3"/>
      <c r="F130" s="3"/>
    </row>
    <row r="131" spans="2:6" x14ac:dyDescent="0.45">
      <c r="B131" s="2"/>
      <c r="C131" s="3"/>
      <c r="D131" s="3"/>
      <c r="E131" s="3"/>
      <c r="F131" s="3"/>
    </row>
    <row r="132" spans="2:6" x14ac:dyDescent="0.45">
      <c r="B132" s="2"/>
      <c r="C132" s="3"/>
      <c r="D132" s="3"/>
      <c r="E132" s="3"/>
      <c r="F132" s="3"/>
    </row>
    <row r="133" spans="2:6" x14ac:dyDescent="0.45">
      <c r="B133" s="2"/>
      <c r="C133" s="3"/>
      <c r="D133" s="3"/>
      <c r="E133" s="3"/>
      <c r="F133" s="3"/>
    </row>
    <row r="134" spans="2:6" x14ac:dyDescent="0.45">
      <c r="B134" s="2"/>
      <c r="C134" s="3"/>
      <c r="D134" s="3"/>
      <c r="E134" s="3"/>
      <c r="F134" s="3"/>
    </row>
    <row r="135" spans="2:6" x14ac:dyDescent="0.45">
      <c r="B135" s="2"/>
      <c r="C135" s="3"/>
      <c r="D135" s="3"/>
      <c r="E135" s="3"/>
      <c r="F135" s="3"/>
    </row>
    <row r="136" spans="2:6" x14ac:dyDescent="0.45">
      <c r="B136" s="2"/>
      <c r="C136" s="3"/>
      <c r="D136" s="3"/>
      <c r="E136" s="3"/>
      <c r="F136" s="3"/>
    </row>
    <row r="137" spans="2:6" x14ac:dyDescent="0.45">
      <c r="B137" s="2"/>
      <c r="C137" s="3"/>
      <c r="D137" s="3"/>
      <c r="E137" s="3"/>
      <c r="F137" s="3"/>
    </row>
    <row r="138" spans="2:6" x14ac:dyDescent="0.45">
      <c r="B138" s="2"/>
      <c r="C138" s="3"/>
      <c r="D138" s="3"/>
      <c r="E138" s="3"/>
      <c r="F138" s="3"/>
    </row>
    <row r="139" spans="2:6" x14ac:dyDescent="0.45">
      <c r="B139" s="2"/>
      <c r="C139" s="3"/>
      <c r="D139" s="3"/>
      <c r="E139" s="3"/>
      <c r="F139" s="3"/>
    </row>
    <row r="140" spans="2:6" x14ac:dyDescent="0.45">
      <c r="B140" s="2"/>
      <c r="C140" s="3"/>
      <c r="D140" s="3"/>
      <c r="E140" s="3"/>
      <c r="F140" s="3"/>
    </row>
    <row r="141" spans="2:6" x14ac:dyDescent="0.45">
      <c r="B141" s="2"/>
      <c r="C141" s="3"/>
      <c r="D141" s="3"/>
      <c r="E141" s="3"/>
      <c r="F141" s="3"/>
    </row>
    <row r="142" spans="2:6" x14ac:dyDescent="0.45">
      <c r="B142" s="2"/>
      <c r="C142" s="3"/>
      <c r="D142" s="3"/>
      <c r="E142" s="3"/>
      <c r="F142" s="3"/>
    </row>
    <row r="143" spans="2:6" x14ac:dyDescent="0.45">
      <c r="B143" s="2"/>
      <c r="C143" s="3"/>
      <c r="D143" s="3"/>
      <c r="E143" s="3"/>
      <c r="F143" s="3"/>
    </row>
    <row r="144" spans="2:6" x14ac:dyDescent="0.45">
      <c r="B144" s="2"/>
      <c r="C144" s="3"/>
      <c r="D144" s="3"/>
      <c r="E144" s="3"/>
      <c r="F144" s="3"/>
    </row>
    <row r="145" spans="2:6" x14ac:dyDescent="0.45">
      <c r="B145" s="2"/>
      <c r="C145" s="3"/>
      <c r="D145" s="3"/>
      <c r="E145" s="3"/>
      <c r="F145" s="3"/>
    </row>
    <row r="146" spans="2:6" x14ac:dyDescent="0.45">
      <c r="B146" s="2"/>
      <c r="C146" s="3"/>
      <c r="D146" s="3"/>
      <c r="E146" s="3"/>
      <c r="F146" s="3"/>
    </row>
    <row r="147" spans="2:6" x14ac:dyDescent="0.45">
      <c r="B147" s="2"/>
      <c r="C147" s="3"/>
      <c r="D147" s="3"/>
      <c r="E147" s="3"/>
      <c r="F147" s="3"/>
    </row>
    <row r="148" spans="2:6" x14ac:dyDescent="0.45">
      <c r="B148" s="2"/>
      <c r="C148" s="3"/>
      <c r="D148" s="3"/>
      <c r="E148" s="3"/>
      <c r="F148" s="3"/>
    </row>
    <row r="149" spans="2:6" x14ac:dyDescent="0.45">
      <c r="B149" s="2"/>
      <c r="C149" s="3"/>
      <c r="D149" s="3"/>
      <c r="E149" s="3"/>
      <c r="F149" s="3"/>
    </row>
    <row r="150" spans="2:6" x14ac:dyDescent="0.45">
      <c r="B150" s="2"/>
      <c r="C150" s="3"/>
      <c r="D150" s="3"/>
      <c r="E150" s="3"/>
      <c r="F150" s="3"/>
    </row>
    <row r="151" spans="2:6" x14ac:dyDescent="0.45">
      <c r="B151" s="2"/>
      <c r="C151" s="3"/>
      <c r="D151" s="3"/>
      <c r="E151" s="3"/>
      <c r="F151" s="3"/>
    </row>
    <row r="152" spans="2:6" x14ac:dyDescent="0.45">
      <c r="B152" s="2"/>
      <c r="C152" s="3"/>
      <c r="D152" s="3"/>
      <c r="E152" s="3"/>
      <c r="F152" s="3"/>
    </row>
    <row r="153" spans="2:6" x14ac:dyDescent="0.45">
      <c r="B153" s="2"/>
      <c r="C153" s="3"/>
      <c r="D153" s="3"/>
      <c r="E153" s="3"/>
      <c r="F153" s="3"/>
    </row>
    <row r="154" spans="2:6" x14ac:dyDescent="0.45">
      <c r="B154" s="2"/>
      <c r="C154" s="3"/>
      <c r="D154" s="3"/>
      <c r="E154" s="3"/>
      <c r="F154" s="3"/>
    </row>
    <row r="155" spans="2:6" x14ac:dyDescent="0.45">
      <c r="B155" s="2"/>
      <c r="C155" s="3"/>
      <c r="D155" s="3"/>
      <c r="E155" s="3"/>
      <c r="F155" s="3"/>
    </row>
    <row r="156" spans="2:6" x14ac:dyDescent="0.45">
      <c r="B156" s="2"/>
      <c r="C156" s="3"/>
      <c r="D156" s="3"/>
      <c r="E156" s="3"/>
      <c r="F156" s="3"/>
    </row>
    <row r="157" spans="2:6" x14ac:dyDescent="0.45">
      <c r="B157" s="2"/>
      <c r="C157" s="3"/>
      <c r="D157" s="3"/>
      <c r="E157" s="3"/>
      <c r="F157" s="3"/>
    </row>
    <row r="158" spans="2:6" x14ac:dyDescent="0.45">
      <c r="B158" s="2"/>
      <c r="C158" s="3"/>
      <c r="D158" s="3"/>
      <c r="E158" s="3"/>
      <c r="F158" s="3"/>
    </row>
    <row r="159" spans="2:6" x14ac:dyDescent="0.45">
      <c r="B159" s="2"/>
      <c r="C159" s="3"/>
      <c r="D159" s="3"/>
      <c r="E159" s="3"/>
      <c r="F159" s="3"/>
    </row>
    <row r="160" spans="2:6" x14ac:dyDescent="0.45">
      <c r="B160" s="2"/>
      <c r="C160" s="3"/>
      <c r="D160" s="3"/>
      <c r="E160" s="3"/>
      <c r="F160" s="3"/>
    </row>
    <row r="161" spans="2:6" x14ac:dyDescent="0.45">
      <c r="B161" s="2"/>
      <c r="C161" s="3"/>
      <c r="D161" s="3"/>
      <c r="E161" s="3"/>
      <c r="F161" s="3"/>
    </row>
    <row r="162" spans="2:6" x14ac:dyDescent="0.45">
      <c r="B162" s="2"/>
      <c r="C162" s="3"/>
      <c r="D162" s="3"/>
      <c r="E162" s="3"/>
      <c r="F162" s="3"/>
    </row>
    <row r="163" spans="2:6" x14ac:dyDescent="0.45">
      <c r="B163" s="2"/>
      <c r="C163" s="3"/>
      <c r="D163" s="3"/>
      <c r="E163" s="3"/>
      <c r="F163" s="3"/>
    </row>
    <row r="164" spans="2:6" x14ac:dyDescent="0.45">
      <c r="B164" s="2"/>
      <c r="C164" s="3"/>
      <c r="D164" s="3"/>
      <c r="E164" s="3"/>
      <c r="F164" s="3"/>
    </row>
    <row r="165" spans="2:6" x14ac:dyDescent="0.45">
      <c r="B165" s="2"/>
      <c r="C165" s="3"/>
      <c r="D165" s="3"/>
      <c r="E165" s="3"/>
      <c r="F165" s="3"/>
    </row>
    <row r="166" spans="2:6" x14ac:dyDescent="0.45">
      <c r="B166" s="2"/>
      <c r="C166" s="3"/>
      <c r="D166" s="3"/>
      <c r="E166" s="3"/>
      <c r="F166" s="3"/>
    </row>
    <row r="167" spans="2:6" x14ac:dyDescent="0.45">
      <c r="B167" s="2"/>
      <c r="C167" s="3"/>
      <c r="D167" s="3"/>
      <c r="E167" s="3"/>
      <c r="F167" s="3"/>
    </row>
    <row r="168" spans="2:6" x14ac:dyDescent="0.45">
      <c r="B168" s="2"/>
      <c r="C168" s="3"/>
      <c r="D168" s="3"/>
      <c r="E168" s="3"/>
      <c r="F168" s="3"/>
    </row>
    <row r="169" spans="2:6" x14ac:dyDescent="0.45">
      <c r="B169" s="2"/>
      <c r="C169" s="3"/>
      <c r="D169" s="3"/>
      <c r="E169" s="3"/>
      <c r="F169" s="3"/>
    </row>
    <row r="170" spans="2:6" x14ac:dyDescent="0.45">
      <c r="B170" s="2"/>
      <c r="C170" s="3"/>
      <c r="D170" s="3"/>
      <c r="E170" s="3"/>
      <c r="F170" s="3"/>
    </row>
    <row r="171" spans="2:6" x14ac:dyDescent="0.45">
      <c r="B171" s="2"/>
      <c r="C171" s="3"/>
      <c r="D171" s="3"/>
      <c r="E171" s="3"/>
      <c r="F171" s="3"/>
    </row>
    <row r="172" spans="2:6" x14ac:dyDescent="0.45">
      <c r="B172" s="2"/>
      <c r="C172" s="3"/>
      <c r="D172" s="3"/>
      <c r="E172" s="3"/>
      <c r="F172" s="3"/>
    </row>
    <row r="173" spans="2:6" x14ac:dyDescent="0.45">
      <c r="B173" s="2"/>
      <c r="C173" s="3"/>
      <c r="D173" s="3"/>
      <c r="E173" s="3"/>
      <c r="F173" s="3"/>
    </row>
    <row r="174" spans="2:6" x14ac:dyDescent="0.45">
      <c r="B174" s="2"/>
      <c r="C174" s="3"/>
      <c r="D174" s="3"/>
      <c r="E174" s="3"/>
      <c r="F174" s="3"/>
    </row>
    <row r="175" spans="2:6" x14ac:dyDescent="0.45">
      <c r="B175" s="2"/>
      <c r="C175" s="3"/>
      <c r="D175" s="3"/>
      <c r="E175" s="3"/>
      <c r="F175" s="3"/>
    </row>
    <row r="176" spans="2:6" x14ac:dyDescent="0.45">
      <c r="B176" s="2"/>
      <c r="C176" s="3"/>
      <c r="D176" s="3"/>
      <c r="E176" s="3"/>
      <c r="F176" s="3"/>
    </row>
    <row r="177" spans="2:6" x14ac:dyDescent="0.45">
      <c r="B177" s="2"/>
      <c r="C177" s="3"/>
      <c r="D177" s="3"/>
      <c r="E177" s="3"/>
      <c r="F177" s="3"/>
    </row>
    <row r="178" spans="2:6" x14ac:dyDescent="0.45">
      <c r="B178" s="2"/>
      <c r="C178" s="3"/>
      <c r="D178" s="3"/>
      <c r="E178" s="3"/>
      <c r="F178" s="3"/>
    </row>
    <row r="179" spans="2:6" x14ac:dyDescent="0.45">
      <c r="B179" s="2"/>
      <c r="C179" s="3"/>
      <c r="D179" s="3"/>
      <c r="E179" s="3"/>
      <c r="F179" s="3"/>
    </row>
    <row r="180" spans="2:6" x14ac:dyDescent="0.45">
      <c r="B180" s="2"/>
      <c r="C180" s="3"/>
      <c r="D180" s="3"/>
      <c r="E180" s="3"/>
      <c r="F180" s="3"/>
    </row>
    <row r="181" spans="2:6" x14ac:dyDescent="0.45">
      <c r="B181" s="2"/>
      <c r="C181" s="3"/>
      <c r="D181" s="3"/>
      <c r="E181" s="3"/>
      <c r="F181" s="3"/>
    </row>
    <row r="182" spans="2:6" x14ac:dyDescent="0.45">
      <c r="B182" s="2"/>
      <c r="C182" s="3"/>
      <c r="D182" s="3"/>
      <c r="E182" s="3"/>
      <c r="F182" s="3"/>
    </row>
    <row r="183" spans="2:6" x14ac:dyDescent="0.45">
      <c r="B183" s="2"/>
      <c r="C183" s="3"/>
      <c r="D183" s="3"/>
      <c r="E183" s="3"/>
      <c r="F183" s="3"/>
    </row>
    <row r="184" spans="2:6" x14ac:dyDescent="0.45">
      <c r="B184" s="2"/>
      <c r="C184" s="3"/>
      <c r="D184" s="3"/>
      <c r="E184" s="3"/>
      <c r="F184" s="3"/>
    </row>
    <row r="185" spans="2:6" x14ac:dyDescent="0.45">
      <c r="B185" s="2"/>
      <c r="C185" s="3"/>
      <c r="D185" s="3"/>
      <c r="E185" s="3"/>
      <c r="F185" s="3"/>
    </row>
    <row r="186" spans="2:6" x14ac:dyDescent="0.45">
      <c r="B186" s="2"/>
      <c r="C186" s="3"/>
      <c r="D186" s="3"/>
      <c r="E186" s="3"/>
      <c r="F186" s="3"/>
    </row>
    <row r="187" spans="2:6" x14ac:dyDescent="0.45">
      <c r="B187" s="2"/>
      <c r="C187" s="3"/>
      <c r="D187" s="3"/>
      <c r="E187" s="3"/>
      <c r="F187" s="3"/>
    </row>
    <row r="188" spans="2:6" x14ac:dyDescent="0.45">
      <c r="B188" s="2"/>
      <c r="C188" s="3"/>
      <c r="D188" s="3"/>
      <c r="E188" s="3"/>
      <c r="F188" s="3"/>
    </row>
    <row r="189" spans="2:6" x14ac:dyDescent="0.45">
      <c r="B189" s="2"/>
      <c r="C189" s="3"/>
      <c r="D189" s="3"/>
      <c r="E189" s="3"/>
      <c r="F189" s="3"/>
    </row>
    <row r="190" spans="2:6" x14ac:dyDescent="0.45">
      <c r="B190" s="2"/>
      <c r="C190" s="3"/>
      <c r="D190" s="3"/>
      <c r="E190" s="3"/>
      <c r="F190" s="3"/>
    </row>
    <row r="191" spans="2:6" x14ac:dyDescent="0.45">
      <c r="B191" s="2"/>
      <c r="C191" s="3"/>
      <c r="D191" s="3"/>
      <c r="E191" s="3"/>
      <c r="F191" s="3"/>
    </row>
    <row r="192" spans="2:6" x14ac:dyDescent="0.45">
      <c r="B192" s="2"/>
      <c r="C192" s="3"/>
      <c r="D192" s="3"/>
      <c r="E192" s="3"/>
      <c r="F192" s="3"/>
    </row>
    <row r="193" spans="2:6" x14ac:dyDescent="0.45">
      <c r="B193" s="2"/>
      <c r="C193" s="3"/>
      <c r="D193" s="3"/>
      <c r="E193" s="3"/>
      <c r="F193" s="3"/>
    </row>
    <row r="194" spans="2:6" x14ac:dyDescent="0.45">
      <c r="B194" s="2"/>
      <c r="C194" s="3"/>
      <c r="D194" s="3"/>
      <c r="E194" s="3"/>
      <c r="F194" s="3"/>
    </row>
    <row r="195" spans="2:6" x14ac:dyDescent="0.45">
      <c r="B195" s="2"/>
      <c r="C195" s="3"/>
      <c r="D195" s="3"/>
      <c r="E195" s="3"/>
      <c r="F195" s="3"/>
    </row>
    <row r="196" spans="2:6" x14ac:dyDescent="0.45">
      <c r="B196" s="2"/>
      <c r="C196" s="3"/>
      <c r="D196" s="3"/>
      <c r="E196" s="3"/>
      <c r="F196" s="3"/>
    </row>
    <row r="197" spans="2:6" x14ac:dyDescent="0.45">
      <c r="B197" s="2"/>
      <c r="C197" s="3"/>
      <c r="D197" s="3"/>
      <c r="E197" s="3"/>
      <c r="F197" s="3"/>
    </row>
    <row r="198" spans="2:6" x14ac:dyDescent="0.45">
      <c r="B198" s="2"/>
      <c r="C198" s="3"/>
      <c r="D198" s="3"/>
      <c r="E198" s="3"/>
      <c r="F198" s="3"/>
    </row>
    <row r="199" spans="2:6" x14ac:dyDescent="0.45">
      <c r="B199" s="2"/>
      <c r="C199" s="3"/>
      <c r="D199" s="3"/>
      <c r="E199" s="3"/>
      <c r="F199" s="3"/>
    </row>
    <row r="200" spans="2:6" x14ac:dyDescent="0.45">
      <c r="B200" s="2"/>
      <c r="C200" s="3"/>
      <c r="D200" s="3"/>
      <c r="E200" s="3"/>
      <c r="F200" s="3"/>
    </row>
    <row r="201" spans="2:6" x14ac:dyDescent="0.45">
      <c r="B201" s="2"/>
      <c r="C201" s="3"/>
      <c r="D201" s="3"/>
      <c r="E201" s="3"/>
      <c r="F201" s="3"/>
    </row>
    <row r="202" spans="2:6" x14ac:dyDescent="0.45">
      <c r="B202" s="2"/>
      <c r="C202" s="3"/>
      <c r="D202" s="3"/>
      <c r="E202" s="3"/>
      <c r="F202" s="3"/>
    </row>
    <row r="203" spans="2:6" x14ac:dyDescent="0.45">
      <c r="B203" s="2"/>
      <c r="C203" s="3"/>
      <c r="D203" s="3"/>
      <c r="E203" s="3"/>
      <c r="F203" s="3"/>
    </row>
    <row r="204" spans="2:6" x14ac:dyDescent="0.45">
      <c r="B204" s="2"/>
      <c r="C204" s="3"/>
      <c r="D204" s="3"/>
      <c r="E204" s="3"/>
      <c r="F204" s="3"/>
    </row>
    <row r="205" spans="2:6" x14ac:dyDescent="0.45">
      <c r="B205" s="2"/>
      <c r="C205" s="3"/>
      <c r="D205" s="3"/>
      <c r="E205" s="3"/>
      <c r="F205" s="3"/>
    </row>
    <row r="206" spans="2:6" x14ac:dyDescent="0.45">
      <c r="B206" s="2"/>
      <c r="C206" s="3"/>
      <c r="D206" s="3"/>
      <c r="E206" s="3"/>
      <c r="F206" s="3"/>
    </row>
    <row r="207" spans="2:6" x14ac:dyDescent="0.45">
      <c r="B207" s="2"/>
      <c r="C207" s="3"/>
      <c r="D207" s="3"/>
      <c r="E207" s="3"/>
      <c r="F207" s="3"/>
    </row>
    <row r="208" spans="2:6" x14ac:dyDescent="0.45">
      <c r="B208" s="2"/>
      <c r="C208" s="3"/>
      <c r="D208" s="3"/>
      <c r="E208" s="3"/>
      <c r="F208" s="3"/>
    </row>
    <row r="209" spans="2:6" x14ac:dyDescent="0.45">
      <c r="B209" s="2"/>
      <c r="C209" s="3"/>
      <c r="D209" s="3"/>
      <c r="E209" s="3"/>
      <c r="F209" s="3"/>
    </row>
    <row r="210" spans="2:6" x14ac:dyDescent="0.45">
      <c r="B210" s="2"/>
      <c r="C210" s="3"/>
      <c r="D210" s="3"/>
      <c r="E210" s="3"/>
      <c r="F210" s="3"/>
    </row>
    <row r="211" spans="2:6" x14ac:dyDescent="0.45">
      <c r="B211" s="2"/>
      <c r="C211" s="3"/>
      <c r="D211" s="3"/>
      <c r="E211" s="3"/>
      <c r="F211" s="3"/>
    </row>
    <row r="212" spans="2:6" x14ac:dyDescent="0.45">
      <c r="B212" s="2"/>
      <c r="C212" s="3"/>
      <c r="D212" s="3"/>
      <c r="E212" s="3"/>
      <c r="F212" s="3"/>
    </row>
    <row r="213" spans="2:6" x14ac:dyDescent="0.45">
      <c r="B213" s="2"/>
      <c r="C213" s="3"/>
      <c r="D213" s="3"/>
      <c r="E213" s="3"/>
      <c r="F213" s="3"/>
    </row>
    <row r="214" spans="2:6" x14ac:dyDescent="0.45">
      <c r="B214" s="2"/>
      <c r="C214" s="3"/>
      <c r="D214" s="3"/>
      <c r="E214" s="3"/>
      <c r="F214" s="3"/>
    </row>
    <row r="215" spans="2:6" x14ac:dyDescent="0.45">
      <c r="B215" s="2"/>
      <c r="C215" s="3"/>
      <c r="D215" s="3"/>
      <c r="E215" s="3"/>
      <c r="F215" s="3"/>
    </row>
    <row r="216" spans="2:6" x14ac:dyDescent="0.45">
      <c r="B216" s="2"/>
      <c r="C216" s="3"/>
      <c r="D216" s="3"/>
      <c r="E216" s="3"/>
      <c r="F216" s="3"/>
    </row>
    <row r="217" spans="2:6" x14ac:dyDescent="0.45">
      <c r="B217" s="2"/>
      <c r="C217" s="3"/>
      <c r="D217" s="3"/>
      <c r="E217" s="3"/>
      <c r="F217" s="3"/>
    </row>
    <row r="218" spans="2:6" x14ac:dyDescent="0.45">
      <c r="B218" s="2"/>
      <c r="C218" s="3"/>
      <c r="D218" s="3"/>
      <c r="E218" s="3"/>
      <c r="F218" s="3"/>
    </row>
    <row r="219" spans="2:6" x14ac:dyDescent="0.45">
      <c r="B219" s="2"/>
      <c r="C219" s="3"/>
      <c r="D219" s="3"/>
      <c r="E219" s="3"/>
      <c r="F219" s="3"/>
    </row>
    <row r="220" spans="2:6" x14ac:dyDescent="0.45">
      <c r="B220" s="2"/>
      <c r="C220" s="3"/>
      <c r="D220" s="3"/>
      <c r="E220" s="3"/>
      <c r="F220" s="3"/>
    </row>
    <row r="221" spans="2:6" x14ac:dyDescent="0.45">
      <c r="B221" s="2"/>
      <c r="C221" s="3"/>
      <c r="D221" s="3"/>
      <c r="E221" s="3"/>
      <c r="F221" s="3"/>
    </row>
    <row r="222" spans="2:6" x14ac:dyDescent="0.45">
      <c r="B222" s="2"/>
      <c r="C222" s="3"/>
      <c r="D222" s="3"/>
      <c r="E222" s="3"/>
      <c r="F222" s="3"/>
    </row>
    <row r="223" spans="2:6" x14ac:dyDescent="0.45">
      <c r="B223" s="2"/>
      <c r="C223" s="3"/>
      <c r="D223" s="3"/>
      <c r="E223" s="3"/>
      <c r="F223" s="3"/>
    </row>
    <row r="224" spans="2:6" x14ac:dyDescent="0.45">
      <c r="B224" s="2"/>
      <c r="C224" s="3"/>
      <c r="D224" s="3"/>
      <c r="E224" s="3"/>
      <c r="F224" s="3"/>
    </row>
    <row r="225" spans="2:6" x14ac:dyDescent="0.45">
      <c r="B225" s="2"/>
      <c r="C225" s="3"/>
      <c r="D225" s="3"/>
      <c r="E225" s="3"/>
      <c r="F225" s="3"/>
    </row>
    <row r="226" spans="2:6" x14ac:dyDescent="0.45">
      <c r="B226" s="2"/>
      <c r="C226" s="3"/>
      <c r="D226" s="3"/>
      <c r="E226" s="3"/>
      <c r="F226" s="3"/>
    </row>
    <row r="227" spans="2:6" x14ac:dyDescent="0.45">
      <c r="B227" s="2"/>
      <c r="C227" s="3"/>
      <c r="D227" s="3"/>
      <c r="E227" s="3"/>
      <c r="F227" s="3"/>
    </row>
    <row r="228" spans="2:6" x14ac:dyDescent="0.45">
      <c r="B228" s="2"/>
      <c r="C228" s="3"/>
      <c r="D228" s="3"/>
      <c r="E228" s="3"/>
      <c r="F228" s="3"/>
    </row>
    <row r="229" spans="2:6" x14ac:dyDescent="0.45">
      <c r="B229" s="2"/>
      <c r="C229" s="3"/>
      <c r="D229" s="3"/>
      <c r="E229" s="3"/>
      <c r="F229" s="3"/>
    </row>
    <row r="230" spans="2:6" x14ac:dyDescent="0.45">
      <c r="B230" s="2"/>
      <c r="C230" s="3"/>
      <c r="D230" s="3"/>
      <c r="E230" s="3"/>
      <c r="F230" s="3"/>
    </row>
    <row r="231" spans="2:6" x14ac:dyDescent="0.45">
      <c r="B231" s="2"/>
      <c r="C231" s="3"/>
      <c r="D231" s="3"/>
      <c r="E231" s="3"/>
      <c r="F231" s="3"/>
    </row>
    <row r="232" spans="2:6" x14ac:dyDescent="0.45">
      <c r="B232" s="2"/>
      <c r="C232" s="3"/>
      <c r="D232" s="3"/>
      <c r="E232" s="3"/>
      <c r="F232" s="3"/>
    </row>
    <row r="233" spans="2:6" x14ac:dyDescent="0.45">
      <c r="B233" s="2"/>
      <c r="C233" s="3"/>
      <c r="D233" s="3"/>
      <c r="E233" s="3"/>
      <c r="F233" s="3"/>
    </row>
    <row r="234" spans="2:6" x14ac:dyDescent="0.45">
      <c r="B234" s="2"/>
      <c r="C234" s="3"/>
      <c r="D234" s="3"/>
      <c r="E234" s="3"/>
      <c r="F234" s="3"/>
    </row>
    <row r="235" spans="2:6" x14ac:dyDescent="0.45">
      <c r="B235" s="2"/>
      <c r="C235" s="3"/>
      <c r="D235" s="3"/>
      <c r="E235" s="3"/>
      <c r="F235" s="3"/>
    </row>
    <row r="236" spans="2:6" x14ac:dyDescent="0.45">
      <c r="B236" s="2"/>
      <c r="C236" s="3"/>
      <c r="D236" s="3"/>
      <c r="E236" s="3"/>
      <c r="F236" s="3"/>
    </row>
    <row r="237" spans="2:6" x14ac:dyDescent="0.45">
      <c r="B237" s="2"/>
      <c r="C237" s="3"/>
      <c r="D237" s="3"/>
      <c r="E237" s="3"/>
      <c r="F237" s="3"/>
    </row>
    <row r="238" spans="2:6" x14ac:dyDescent="0.45">
      <c r="B238" s="2"/>
      <c r="C238" s="3"/>
      <c r="D238" s="3"/>
      <c r="E238" s="3"/>
      <c r="F238" s="3"/>
    </row>
    <row r="239" spans="2:6" x14ac:dyDescent="0.45">
      <c r="B239" s="2"/>
      <c r="C239" s="3"/>
      <c r="D239" s="3"/>
      <c r="E239" s="3"/>
      <c r="F239" s="3"/>
    </row>
    <row r="240" spans="2:6" x14ac:dyDescent="0.45">
      <c r="B240" s="2"/>
      <c r="C240" s="3"/>
      <c r="D240" s="3"/>
      <c r="E240" s="3"/>
      <c r="F240" s="3"/>
    </row>
    <row r="246" spans="1:6" x14ac:dyDescent="0.45">
      <c r="A246" s="22"/>
      <c r="B246" s="6"/>
      <c r="C246" s="7"/>
      <c r="D246" s="7"/>
      <c r="E246" s="7"/>
      <c r="F246" s="7"/>
    </row>
    <row r="247" spans="1:6" x14ac:dyDescent="0.45">
      <c r="B247" s="5"/>
      <c r="C247" s="8"/>
      <c r="D247" s="8"/>
      <c r="E247" s="8"/>
      <c r="F247" s="8"/>
    </row>
    <row r="248" spans="1:6" x14ac:dyDescent="0.45">
      <c r="B248" s="5"/>
      <c r="C248" s="8"/>
      <c r="D248" s="8"/>
      <c r="E248" s="8"/>
      <c r="F248" s="8"/>
    </row>
    <row r="249" spans="1:6" x14ac:dyDescent="0.45">
      <c r="B249" s="5"/>
      <c r="C249" s="8"/>
      <c r="D249" s="8"/>
      <c r="E249" s="8"/>
      <c r="F249" s="8"/>
    </row>
    <row r="250" spans="1:6" x14ac:dyDescent="0.45">
      <c r="B250" s="5"/>
      <c r="C250" s="8"/>
      <c r="D250" s="8"/>
      <c r="E250" s="8"/>
      <c r="F250" s="8"/>
    </row>
  </sheetData>
  <sortState xmlns:xlrd2="http://schemas.microsoft.com/office/spreadsheetml/2017/richdata2" ref="A2:F101">
    <sortCondition ref="A2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A0CA-BEFE-4815-86CD-71E653709F1D}">
  <dimension ref="A3:B9"/>
  <sheetViews>
    <sheetView workbookViewId="0">
      <selection activeCell="A3" sqref="A3"/>
    </sheetView>
  </sheetViews>
  <sheetFormatPr defaultRowHeight="14.25" x14ac:dyDescent="0.45"/>
  <cols>
    <col min="2" max="2" width="14.46484375" bestFit="1" customWidth="1"/>
  </cols>
  <sheetData>
    <row r="3" spans="1:2" x14ac:dyDescent="0.45">
      <c r="A3" s="23" t="s">
        <v>23</v>
      </c>
      <c r="B3" t="s">
        <v>25</v>
      </c>
    </row>
    <row r="4" spans="1:2" x14ac:dyDescent="0.45">
      <c r="A4" s="24" t="s">
        <v>10</v>
      </c>
      <c r="B4" s="25">
        <v>217.80000000000004</v>
      </c>
    </row>
    <row r="5" spans="1:2" x14ac:dyDescent="0.45">
      <c r="A5" s="24" t="s">
        <v>8</v>
      </c>
      <c r="B5" s="25">
        <v>544.50000000000011</v>
      </c>
    </row>
    <row r="6" spans="1:2" x14ac:dyDescent="0.45">
      <c r="A6" s="24" t="s">
        <v>11</v>
      </c>
      <c r="B6" s="25">
        <v>167.31</v>
      </c>
    </row>
    <row r="7" spans="1:2" x14ac:dyDescent="0.45">
      <c r="A7" s="24" t="s">
        <v>7</v>
      </c>
      <c r="B7" s="25">
        <v>826.5</v>
      </c>
    </row>
    <row r="8" spans="1:2" x14ac:dyDescent="0.45">
      <c r="A8" s="24" t="s">
        <v>9</v>
      </c>
      <c r="B8" s="25">
        <v>400.40000000000009</v>
      </c>
    </row>
    <row r="9" spans="1:2" x14ac:dyDescent="0.45">
      <c r="A9" s="24" t="s">
        <v>24</v>
      </c>
      <c r="B9" s="25">
        <v>2156.5100000000002</v>
      </c>
    </row>
  </sheetData>
  <phoneticPr fontId="2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D5E28D5B02B07E4DB22E0CDD299B3D4E" ma:contentTypeVersion="2" ma:contentTypeDescription="建立新的文件。" ma:contentTypeScope="" ma:versionID="1ceee1b0b7464ceb674a54215d5c935a">
  <xsd:schema xmlns:xsd="http://www.w3.org/2001/XMLSchema" xmlns:xs="http://www.w3.org/2001/XMLSchema" xmlns:p="http://schemas.microsoft.com/office/2006/metadata/properties" xmlns:ns2="78f0e584-11c4-49ff-b173-4bb87e503819" targetNamespace="http://schemas.microsoft.com/office/2006/metadata/properties" ma:root="true" ma:fieldsID="adba638c17233bd54f0a79033de5b534" ns2:_="">
    <xsd:import namespace="78f0e584-11c4-49ff-b173-4bb87e503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0e584-11c4-49ff-b173-4bb87e503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43FE88-0231-4669-BC24-0EACB142E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f0e584-11c4-49ff-b173-4bb87e503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D435B-B562-4E3F-ACFD-4B434802F8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192541-880E-448E-8E2A-77EA9A416C26}">
  <ds:schemaRefs>
    <ds:schemaRef ds:uri="http://schemas.microsoft.com/office/infopath/2007/PartnerControls"/>
    <ds:schemaRef ds:uri="59c1bcad-7098-423b-871d-6eb77e919c74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77e75463-0609-43b1-9861-fe0c92935952"/>
    <ds:schemaRef ds:uri="http://schemas.microsoft.com/sharepoint/v3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折扣</vt:lpstr>
      <vt:lpstr>折扣分析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Huang</dc:creator>
  <cp:lastModifiedBy>User</cp:lastModifiedBy>
  <dcterms:created xsi:type="dcterms:W3CDTF">2019-02-07T07:37:15Z</dcterms:created>
  <dcterms:modified xsi:type="dcterms:W3CDTF">2021-05-12T06:25:41Z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0x010100D5E28D5B02B07E4DB22E0CDD299B3D4E</vt:lpwstr>
  </property>
</Properties>
</file>