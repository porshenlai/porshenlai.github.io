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/>
  <xr:revisionPtr revIDLastSave="0" documentId="13_ncr:1_{5C75EF5C-87D1-48A6-B618-BB97DD58D7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總使用量占比" sheetId="11" r:id="rId1"/>
    <sheet name="5G客戶本期傳輸量" sheetId="3" r:id="rId2"/>
    <sheet name="新商品預購" sheetId="5" r:id="rId3"/>
    <sheet name="各縣市用戶人數" sheetId="8" r:id="rId4"/>
    <sheet name="假日表" sheetId="7" r:id="rId5"/>
  </sheets>
  <definedNames>
    <definedName name="一月使用量">'5G客戶本期傳輸量'!$F$4:$F$65</definedName>
    <definedName name="二月使用量">'5G客戶本期傳輸量'!$G$4:$G$65</definedName>
    <definedName name="三月使用量">'5G客戶本期傳輸量'!$H$4:$H$65</definedName>
    <definedName name="方案名稱">'5G客戶本期傳輸量'!$E$4:$E$65</definedName>
    <definedName name="使用量總計">'5G客戶本期傳輸量'!$I$4:$I$65</definedName>
    <definedName name="客戶姓名">'5G客戶本期傳輸量'!$B$4:$B$65</definedName>
    <definedName name="海量型限制量">'5G客戶本期傳輸量'!$R$4</definedName>
    <definedName name="假日清單">假日表!$A$3:$A$38</definedName>
    <definedName name="常用型限制量">'5G客戶本期傳輸量'!$R$6</definedName>
    <definedName name="鄉鎮區">'5G客戶本期傳輸量'!$D$4:$D$65</definedName>
    <definedName name="微量型限制量">'5G客戶本期傳輸量'!$R$8</definedName>
    <definedName name="經濟型限制量">'5G客戶本期傳輸量'!$R$7</definedName>
    <definedName name="編號">'5G客戶本期傳輸量'!$A$4:$A$65</definedName>
    <definedName name="縣市">'5G客戶本期傳輸量'!$C$4:$C$65</definedName>
    <definedName name="豐沛型限制量">'5G客戶本期傳輸量'!$R$5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1" l="1"/>
  <c r="F5" i="11"/>
  <c r="F6" i="11"/>
  <c r="F7" i="11"/>
  <c r="F8" i="11"/>
  <c r="F9" i="11"/>
  <c r="F10" i="11"/>
  <c r="F11" i="11"/>
  <c r="F12" i="11"/>
  <c r="B13" i="11"/>
  <c r="C13" i="11"/>
  <c r="D13" i="11"/>
  <c r="E13" i="1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F13" i="11" l="1"/>
</calcChain>
</file>

<file path=xl/sharedStrings.xml><?xml version="1.0" encoding="utf-8"?>
<sst xmlns="http://schemas.openxmlformats.org/spreadsheetml/2006/main" count="468" uniqueCount="205">
  <si>
    <t>總計</t>
  </si>
  <si>
    <t>編號</t>
    <phoneticPr fontId="4" type="noConversion"/>
  </si>
  <si>
    <t>客戶姓名</t>
    <phoneticPr fontId="4" type="noConversion"/>
  </si>
  <si>
    <t>縣市</t>
    <phoneticPr fontId="4" type="noConversion"/>
  </si>
  <si>
    <t>吃到飽</t>
    <phoneticPr fontId="4" type="noConversion"/>
  </si>
  <si>
    <t>方案名稱</t>
    <phoneticPr fontId="4" type="noConversion"/>
  </si>
  <si>
    <t>傳輸量限制(GB)</t>
    <phoneticPr fontId="4" type="noConversion"/>
  </si>
  <si>
    <t>經濟型</t>
  </si>
  <si>
    <t>經濟型</t>
    <phoneticPr fontId="4" type="noConversion"/>
  </si>
  <si>
    <t>常用型</t>
  </si>
  <si>
    <t>常用型</t>
    <phoneticPr fontId="4" type="noConversion"/>
  </si>
  <si>
    <t>海量型</t>
  </si>
  <si>
    <t>海量型</t>
    <phoneticPr fontId="4" type="noConversion"/>
  </si>
  <si>
    <t>豐沛型</t>
  </si>
  <si>
    <t>豐沛型</t>
    <phoneticPr fontId="4" type="noConversion"/>
  </si>
  <si>
    <t>微量型</t>
  </si>
  <si>
    <t>微量型</t>
    <phoneticPr fontId="4" type="noConversion"/>
  </si>
  <si>
    <t>李慈婷</t>
  </si>
  <si>
    <t>曾宜豪</t>
  </si>
  <si>
    <t>林子維</t>
  </si>
  <si>
    <t>吳薇婷</t>
    <phoneticPr fontId="5" type="noConversion"/>
  </si>
  <si>
    <t>蔣宥萱</t>
  </si>
  <si>
    <t>張以瑩</t>
  </si>
  <si>
    <t>林裕倫</t>
  </si>
  <si>
    <t>林秉宣</t>
  </si>
  <si>
    <t>謝佳逸</t>
  </si>
  <si>
    <t>鄭漢汶</t>
  </si>
  <si>
    <t>陳蕎姿</t>
  </si>
  <si>
    <t>盧于晴</t>
  </si>
  <si>
    <t>黃孜歆</t>
  </si>
  <si>
    <t>胡建綸</t>
  </si>
  <si>
    <t>陳立菁</t>
  </si>
  <si>
    <t>劉悅瑄</t>
  </si>
  <si>
    <t>曾佳誠</t>
  </si>
  <si>
    <t>賴子瑄</t>
  </si>
  <si>
    <t>陳雯瑋</t>
  </si>
  <si>
    <t>廖家辰</t>
  </si>
  <si>
    <t>李奕璿</t>
  </si>
  <si>
    <t>楊宜達</t>
  </si>
  <si>
    <t>康奇勝</t>
    <phoneticPr fontId="5" type="noConversion"/>
  </si>
  <si>
    <t>翁韋羽</t>
  </si>
  <si>
    <t>李聿璇</t>
  </si>
  <si>
    <t>朱馨瑾</t>
  </si>
  <si>
    <t>康登萱</t>
  </si>
  <si>
    <t>鍾鈺軒</t>
  </si>
  <si>
    <t>陳芝芳</t>
  </si>
  <si>
    <t>許庭豪</t>
  </si>
  <si>
    <t>廖錦懿</t>
  </si>
  <si>
    <t>陳郁鈞</t>
  </si>
  <si>
    <t>黃涵庭</t>
  </si>
  <si>
    <t>廖典容</t>
  </si>
  <si>
    <t>洪杰恩</t>
  </si>
  <si>
    <t>陳濰甄</t>
  </si>
  <si>
    <t>楊雅筠</t>
  </si>
  <si>
    <t>蔣于涵</t>
  </si>
  <si>
    <t>朱承酉</t>
  </si>
  <si>
    <t>游崑軍</t>
  </si>
  <si>
    <t>李欣弘</t>
  </si>
  <si>
    <t>宋曉瀚</t>
  </si>
  <si>
    <t>李佩伊</t>
  </si>
  <si>
    <t>曹任如</t>
  </si>
  <si>
    <t>江雅瑩</t>
  </si>
  <si>
    <t>游又潔</t>
  </si>
  <si>
    <t>周庭蓁</t>
  </si>
  <si>
    <t>曾俊諭</t>
  </si>
  <si>
    <t>許恩容</t>
  </si>
  <si>
    <t>陳庭娟</t>
  </si>
  <si>
    <t>陳雅憲</t>
  </si>
  <si>
    <t>郭于哲</t>
  </si>
  <si>
    <t>蔡冠諺</t>
  </si>
  <si>
    <t>楊世涵</t>
  </si>
  <si>
    <t>黃佳安</t>
  </si>
  <si>
    <t>饒思淞</t>
  </si>
  <si>
    <t>蘇育妤</t>
  </si>
  <si>
    <t>孫曉穎</t>
  </si>
  <si>
    <t>吳謙君</t>
  </si>
  <si>
    <t>新北市</t>
  </si>
  <si>
    <t>三重區</t>
  </si>
  <si>
    <t>台北市</t>
  </si>
  <si>
    <t>中山區</t>
  </si>
  <si>
    <t>高雄市</t>
  </si>
  <si>
    <t>小港區</t>
  </si>
  <si>
    <t>彰化縣</t>
  </si>
  <si>
    <t>彰化市</t>
  </si>
  <si>
    <t>士林區</t>
  </si>
  <si>
    <t>鳳山區</t>
  </si>
  <si>
    <t>新店區</t>
  </si>
  <si>
    <t>台中市</t>
  </si>
  <si>
    <t>北區</t>
  </si>
  <si>
    <t>信義區</t>
  </si>
  <si>
    <t>永和區</t>
  </si>
  <si>
    <t>三峽區</t>
  </si>
  <si>
    <t>內湖區</t>
  </si>
  <si>
    <t>嘉義縣</t>
  </si>
  <si>
    <t>民雄鄉</t>
  </si>
  <si>
    <t>八里區</t>
  </si>
  <si>
    <t>萬華區</t>
  </si>
  <si>
    <t>淡水區</t>
  </si>
  <si>
    <t>外埔區</t>
  </si>
  <si>
    <t>三民區</t>
  </si>
  <si>
    <t>蘆洲區</t>
  </si>
  <si>
    <t>中和區</t>
  </si>
  <si>
    <t>西屯區</t>
  </si>
  <si>
    <t>板橋區</t>
  </si>
  <si>
    <t>東區</t>
  </si>
  <si>
    <t>中正區</t>
  </si>
  <si>
    <t>鼓山區</t>
  </si>
  <si>
    <t>北屯區</t>
  </si>
  <si>
    <t>台南市</t>
  </si>
  <si>
    <t>仁德區</t>
  </si>
  <si>
    <t>南港區</t>
  </si>
  <si>
    <t>玉井區</t>
  </si>
  <si>
    <t>汐止區</t>
  </si>
  <si>
    <t>前金區</t>
  </si>
  <si>
    <t>新莊區</t>
  </si>
  <si>
    <t>雲林縣</t>
  </si>
  <si>
    <t>西螺鎮</t>
  </si>
  <si>
    <t>桃園市</t>
  </si>
  <si>
    <t>龍潭區</t>
  </si>
  <si>
    <t>中西區</t>
  </si>
  <si>
    <t>土城區</t>
  </si>
  <si>
    <t>大同區</t>
  </si>
  <si>
    <t>北投區</t>
  </si>
  <si>
    <t>高筑拓</t>
  </si>
  <si>
    <t>彭淵琪</t>
    <phoneticPr fontId="5" type="noConversion"/>
  </si>
  <si>
    <t>台北市</t>
    <phoneticPr fontId="4" type="noConversion"/>
  </si>
  <si>
    <t>士林區</t>
    <phoneticPr fontId="4" type="noConversion"/>
  </si>
  <si>
    <t>沈嘉怡</t>
    <phoneticPr fontId="4" type="noConversion"/>
  </si>
  <si>
    <t>鄉鎮區</t>
    <phoneticPr fontId="4" type="noConversion"/>
  </si>
  <si>
    <t>一月使用量</t>
    <phoneticPr fontId="4" type="noConversion"/>
  </si>
  <si>
    <t>二月使用量</t>
    <phoneticPr fontId="4" type="noConversion"/>
  </si>
  <si>
    <t>三月使用量</t>
    <phoneticPr fontId="4" type="noConversion"/>
  </si>
  <si>
    <t>產品</t>
    <phoneticPr fontId="4" type="noConversion"/>
  </si>
  <si>
    <t>上市日期</t>
    <phoneticPr fontId="4" type="noConversion"/>
  </si>
  <si>
    <t>藍芽耳機</t>
  </si>
  <si>
    <t>藍芽喇叭</t>
  </si>
  <si>
    <t>行動電源</t>
  </si>
  <si>
    <t>智慧手錶</t>
  </si>
  <si>
    <t>USB充電器</t>
  </si>
  <si>
    <t>無線充電座</t>
  </si>
  <si>
    <t>智慧攝影機</t>
  </si>
  <si>
    <t>負離子吹風機</t>
  </si>
  <si>
    <t>LED檯燈</t>
  </si>
  <si>
    <t>定價</t>
    <phoneticPr fontId="4" type="noConversion"/>
  </si>
  <si>
    <t>預購價</t>
    <phoneticPr fontId="4" type="noConversion"/>
  </si>
  <si>
    <t>預購截止日期</t>
    <phoneticPr fontId="4" type="noConversion"/>
  </si>
  <si>
    <t>活動門市</t>
    <phoneticPr fontId="4" type="noConversion"/>
  </si>
  <si>
    <t>幸福分店</t>
    <phoneticPr fontId="4" type="noConversion"/>
  </si>
  <si>
    <t>文化分店</t>
    <phoneticPr fontId="4" type="noConversion"/>
  </si>
  <si>
    <t>仁愛分店</t>
    <phoneticPr fontId="4" type="noConversion"/>
  </si>
  <si>
    <t>優先順序</t>
    <phoneticPr fontId="4" type="noConversion"/>
  </si>
  <si>
    <t>預購商品登記</t>
    <phoneticPr fontId="4" type="noConversion"/>
  </si>
  <si>
    <t>智慧家電/電子商品新商品</t>
    <phoneticPr fontId="4" type="noConversion"/>
  </si>
  <si>
    <t>數量</t>
    <phoneticPr fontId="4" type="noConversion"/>
  </si>
  <si>
    <t>國惟通訊公司</t>
    <phoneticPr fontId="4" type="noConversion"/>
  </si>
  <si>
    <t>第一季各縣市各方案使用量</t>
    <phoneticPr fontId="4" type="noConversion"/>
  </si>
  <si>
    <t>新北市</t>
    <phoneticPr fontId="4" type="noConversion"/>
  </si>
  <si>
    <t>高雄市</t>
    <phoneticPr fontId="4" type="noConversion"/>
  </si>
  <si>
    <t>彰化縣</t>
    <phoneticPr fontId="4" type="noConversion"/>
  </si>
  <si>
    <t>台中市</t>
    <phoneticPr fontId="4" type="noConversion"/>
  </si>
  <si>
    <t>嘉義縣</t>
    <phoneticPr fontId="4" type="noConversion"/>
  </si>
  <si>
    <t>台南市</t>
    <phoneticPr fontId="4" type="noConversion"/>
  </si>
  <si>
    <t>雲林縣</t>
    <phoneticPr fontId="4" type="noConversion"/>
  </si>
  <si>
    <t>桃園市</t>
    <phoneticPr fontId="4" type="noConversion"/>
  </si>
  <si>
    <t>總使用量</t>
    <phoneticPr fontId="4" type="noConversion"/>
  </si>
  <si>
    <t>平均</t>
    <phoneticPr fontId="4" type="noConversion"/>
  </si>
  <si>
    <t>平均使用量</t>
    <phoneticPr fontId="4" type="noConversion"/>
  </si>
  <si>
    <t>(依據縣市與簽約類型分類)</t>
    <phoneticPr fontId="4" type="noConversion"/>
  </si>
  <si>
    <t>方案</t>
    <phoneticPr fontId="4" type="noConversion"/>
  </si>
  <si>
    <t>方案名稱</t>
  </si>
  <si>
    <t>使用量總計</t>
    <phoneticPr fontId="4" type="noConversion"/>
  </si>
  <si>
    <t>日期</t>
    <phoneticPr fontId="14" type="noConversion"/>
  </si>
  <si>
    <t>國定假日事由</t>
    <phoneticPr fontId="14" type="noConversion"/>
  </si>
  <si>
    <t>星期五</t>
  </si>
  <si>
    <t>元旦</t>
  </si>
  <si>
    <t>中華民國開國紀念日</t>
  </si>
  <si>
    <t>星期三</t>
    <phoneticPr fontId="14" type="noConversion"/>
  </si>
  <si>
    <t>春節</t>
  </si>
  <si>
    <t>星期四</t>
  </si>
  <si>
    <t>星期六</t>
  </si>
  <si>
    <t>星期日</t>
  </si>
  <si>
    <t>星期一</t>
  </si>
  <si>
    <t>星期二</t>
  </si>
  <si>
    <t>228 紀念日</t>
  </si>
  <si>
    <t>228 紀念日 (放假日)</t>
  </si>
  <si>
    <t>兒童節 (放假日)</t>
  </si>
  <si>
    <t>兒童節</t>
  </si>
  <si>
    <t>清明節</t>
  </si>
  <si>
    <t>清明節 (放假日)</t>
  </si>
  <si>
    <t>勞動節 *</t>
  </si>
  <si>
    <t>端午節</t>
  </si>
  <si>
    <t>中秋節 (放假日)</t>
  </si>
  <si>
    <t>中秋節</t>
  </si>
  <si>
    <t>中華民國國慶日</t>
  </si>
  <si>
    <t>中華民國國慶日 (放假日)</t>
    <phoneticPr fontId="14" type="noConversion"/>
  </si>
  <si>
    <t>中華民國開國紀念日 (放假日)</t>
  </si>
  <si>
    <t>星期一</t>
    <phoneticPr fontId="14" type="noConversion"/>
  </si>
  <si>
    <t>星期三</t>
  </si>
  <si>
    <t>2021~2022年國定假日表</t>
    <phoneticPr fontId="4" type="noConversion"/>
  </si>
  <si>
    <t>星期</t>
    <phoneticPr fontId="14" type="noConversion"/>
  </si>
  <si>
    <t>縣市鄉鎮區</t>
  </si>
  <si>
    <t>(全部)</t>
  </si>
  <si>
    <t>總使用量占比</t>
    <phoneticPr fontId="4" type="noConversion"/>
  </si>
  <si>
    <t>各縣市第一季總使用量占比</t>
    <phoneticPr fontId="4" type="noConversion"/>
  </si>
  <si>
    <t>用戶人數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</si>
</sst>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"/>
    <numFmt numFmtId="177" formatCode="#,##0_ "/>
  </numFmts>
  <fonts count="18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rgb="FF9C5700"/>
      <name val="微軟正黑體"/>
      <family val="2"/>
      <charset val="136"/>
    </font>
    <font>
      <sz val="11"/>
      <color theme="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thin">
        <color theme="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medium">
        <color theme="7"/>
      </top>
      <bottom/>
      <diagonal/>
    </border>
    <border>
      <left style="thin">
        <color theme="7"/>
      </left>
      <right style="thin">
        <color theme="7"/>
      </right>
      <top style="medium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medium">
        <color theme="0"/>
      </top>
      <bottom/>
      <diagonal/>
    </border>
    <border>
      <left/>
      <right/>
      <top style="double">
        <color theme="1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64">
    <xf numFmtId="0" fontId="0" fillId="0" borderId="0" xfId="0"/>
    <xf numFmtId="0" fontId="6" fillId="2" borderId="1" xfId="0" applyFont="1" applyFill="1" applyBorder="1"/>
    <xf numFmtId="0" fontId="6" fillId="3" borderId="2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176" fontId="3" fillId="0" borderId="1" xfId="0" applyNumberFormat="1" applyFont="1" applyBorder="1"/>
    <xf numFmtId="0" fontId="6" fillId="2" borderId="1" xfId="0" applyFont="1" applyFill="1" applyBorder="1" applyAlignment="1">
      <alignment horizontal="right"/>
    </xf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2" fillId="0" borderId="0" xfId="0" applyFont="1"/>
    <xf numFmtId="0" fontId="6" fillId="3" borderId="4" xfId="0" applyFont="1" applyFill="1" applyBorder="1"/>
    <xf numFmtId="0" fontId="2" fillId="0" borderId="4" xfId="0" applyFont="1" applyBorder="1"/>
    <xf numFmtId="14" fontId="2" fillId="10" borderId="8" xfId="0" applyNumberFormat="1" applyFont="1" applyFill="1" applyBorder="1" applyAlignment="1">
      <alignment horizontal="left"/>
    </xf>
    <xf numFmtId="0" fontId="2" fillId="10" borderId="8" xfId="0" applyFont="1" applyFill="1" applyBorder="1"/>
    <xf numFmtId="0" fontId="2" fillId="10" borderId="9" xfId="0" applyFont="1" applyFill="1" applyBorder="1"/>
    <xf numFmtId="14" fontId="2" fillId="0" borderId="6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14" fontId="2" fillId="10" borderId="6" xfId="0" applyNumberFormat="1" applyFont="1" applyFill="1" applyBorder="1" applyAlignment="1">
      <alignment horizontal="left"/>
    </xf>
    <xf numFmtId="0" fontId="2" fillId="10" borderId="6" xfId="0" applyFont="1" applyFill="1" applyBorder="1"/>
    <xf numFmtId="0" fontId="2" fillId="10" borderId="7" xfId="0" applyFont="1" applyFill="1" applyBorder="1"/>
    <xf numFmtId="14" fontId="2" fillId="0" borderId="10" xfId="0" applyNumberFormat="1" applyFont="1" applyBorder="1" applyAlignment="1">
      <alignment horizontal="left"/>
    </xf>
    <xf numFmtId="0" fontId="2" fillId="0" borderId="10" xfId="0" applyFont="1" applyBorder="1"/>
    <xf numFmtId="0" fontId="2" fillId="0" borderId="5" xfId="0" applyFont="1" applyBorder="1"/>
    <xf numFmtId="14" fontId="15" fillId="4" borderId="6" xfId="2" applyNumberFormat="1" applyFont="1" applyBorder="1" applyAlignment="1">
      <alignment horizontal="left"/>
    </xf>
    <xf numFmtId="0" fontId="15" fillId="4" borderId="6" xfId="2" applyFont="1" applyBorder="1" applyAlignment="1"/>
    <xf numFmtId="0" fontId="15" fillId="4" borderId="7" xfId="2" applyFont="1" applyBorder="1" applyAlignment="1"/>
    <xf numFmtId="0" fontId="6" fillId="11" borderId="0" xfId="0" applyFont="1" applyFill="1" applyBorder="1"/>
    <xf numFmtId="0" fontId="6" fillId="11" borderId="0" xfId="0" applyFont="1" applyFill="1" applyBorder="1" applyAlignment="1">
      <alignment horizontal="right"/>
    </xf>
    <xf numFmtId="0" fontId="7" fillId="6" borderId="11" xfId="4" applyFont="1" applyBorder="1" applyAlignment="1"/>
    <xf numFmtId="0" fontId="7" fillId="6" borderId="0" xfId="4" applyFont="1" applyAlignment="1"/>
    <xf numFmtId="177" fontId="7" fillId="6" borderId="11" xfId="4" applyNumberFormat="1" applyFont="1" applyBorder="1" applyAlignment="1"/>
    <xf numFmtId="177" fontId="7" fillId="6" borderId="0" xfId="4" applyNumberFormat="1" applyFont="1" applyAlignment="1"/>
    <xf numFmtId="0" fontId="7" fillId="6" borderId="12" xfId="4" applyFont="1" applyBorder="1" applyAlignment="1"/>
    <xf numFmtId="177" fontId="7" fillId="6" borderId="12" xfId="4" applyNumberFormat="1" applyFont="1" applyBorder="1" applyAlignment="1"/>
    <xf numFmtId="10" fontId="7" fillId="6" borderId="11" xfId="1" applyNumberFormat="1" applyFont="1" applyFill="1" applyBorder="1" applyAlignment="1"/>
    <xf numFmtId="10" fontId="7" fillId="6" borderId="0" xfId="1" applyNumberFormat="1" applyFont="1" applyFill="1" applyAlignment="1"/>
    <xf numFmtId="10" fontId="7" fillId="6" borderId="12" xfId="1" applyNumberFormat="1" applyFont="1" applyFill="1" applyBorder="1" applyAlignment="1"/>
    <xf numFmtId="0" fontId="6" fillId="2" borderId="13" xfId="0" applyFont="1" applyFill="1" applyBorder="1"/>
    <xf numFmtId="0" fontId="2" fillId="0" borderId="13" xfId="0" applyFont="1" applyBorder="1"/>
    <xf numFmtId="0" fontId="6" fillId="8" borderId="14" xfId="0" applyFont="1" applyFill="1" applyBorder="1" applyAlignment="1">
      <alignment horizontal="center"/>
    </xf>
    <xf numFmtId="0" fontId="2" fillId="0" borderId="14" xfId="0" applyNumberFormat="1" applyFont="1" applyBorder="1"/>
    <xf numFmtId="0" fontId="16" fillId="12" borderId="0" xfId="3" applyFont="1" applyFill="1" applyAlignment="1">
      <alignment horizontal="center"/>
    </xf>
    <xf numFmtId="0" fontId="17" fillId="12" borderId="0" xfId="3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 applyAlignment="1">
      <alignment horizontal="right"/>
    </xf>
  </cellXfs>
  <cellStyles count="5">
    <cellStyle name="40% - 輔色2" xfId="4" builtinId="35"/>
    <cellStyle name="一般" xfId="0" builtinId="0"/>
    <cellStyle name="中等" xfId="2" builtinId="28"/>
    <cellStyle name="百分比" xfId="1" builtinId="5"/>
    <cellStyle name="輔色2" xfId="3" builtinId="33"/>
  </cellStyles>
  <dxfs count="14"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right"/>
    </dxf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  <border diagonalUp="0" diagonalDown="0">
        <left style="thin">
          <color rgb="FF7030A0"/>
        </left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right style="thin">
          <color rgb="FF7030A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294.426856597223" createdVersion="6" refreshedVersion="6" minRefreshableVersion="3" recordCount="62" xr:uid="{13A06C48-D01B-4A9D-8695-3FADA4C8C479}">
  <cacheSource type="worksheet">
    <worksheetSource ref="A3:I65" sheet="5G客戶本期傳輸量"/>
  </cacheSource>
  <cacheFields count="9">
    <cacheField name="編號" numFmtId="0">
      <sharedItems containsSemiMixedTypes="0" containsString="0" containsNumber="1" containsInteger="1" minValue="1" maxValue="62"/>
    </cacheField>
    <cacheField name="客戶姓名" numFmtId="0">
      <sharedItems/>
    </cacheField>
    <cacheField name="縣市" numFmtId="0">
      <sharedItems count="9">
        <s v="新北市"/>
        <s v="台北市"/>
        <s v="高雄市"/>
        <s v="彰化縣"/>
        <s v="台中市"/>
        <s v="嘉義縣"/>
        <s v="台南市"/>
        <s v="雲林縣"/>
        <s v="桃園市"/>
      </sharedItems>
    </cacheField>
    <cacheField name="鄉鎮區" numFmtId="0">
      <sharedItems/>
    </cacheField>
    <cacheField name="方案名稱" numFmtId="0">
      <sharedItems count="5">
        <s v="海量型"/>
        <s v="常用型"/>
        <s v="經濟型"/>
        <s v="微量型"/>
        <s v="豐沛型"/>
      </sharedItems>
    </cacheField>
    <cacheField name="一月使用量" numFmtId="0">
      <sharedItems containsSemiMixedTypes="0" containsString="0" containsNumber="1" containsInteger="1" minValue="2" maxValue="74"/>
    </cacheField>
    <cacheField name="二月使用量" numFmtId="0">
      <sharedItems containsSemiMixedTypes="0" containsString="0" containsNumber="1" containsInteger="1" minValue="2" maxValue="65"/>
    </cacheField>
    <cacheField name="三月使用量" numFmtId="0">
      <sharedItems containsSemiMixedTypes="0" containsString="0" containsNumber="1" containsInteger="1" minValue="2" maxValue="75"/>
    </cacheField>
    <cacheField name="使用量總計" numFmtId="0">
      <sharedItems containsSemiMixedTypes="0" containsString="0" containsNumber="1" containsInteger="1" minValue="6" maxValue="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1"/>
    <s v="李慈婷"/>
    <x v="0"/>
    <s v="三重區"/>
    <x v="0"/>
    <n v="52"/>
    <n v="62"/>
    <n v="54"/>
    <n v="168"/>
  </r>
  <r>
    <n v="2"/>
    <s v="曾宜豪"/>
    <x v="1"/>
    <s v="中山區"/>
    <x v="1"/>
    <n v="13"/>
    <n v="14"/>
    <n v="12"/>
    <n v="39"/>
  </r>
  <r>
    <n v="3"/>
    <s v="林子維"/>
    <x v="0"/>
    <s v="三重區"/>
    <x v="2"/>
    <n v="8"/>
    <n v="7"/>
    <n v="6"/>
    <n v="21"/>
  </r>
  <r>
    <n v="4"/>
    <s v="吳薇婷"/>
    <x v="2"/>
    <s v="小港區"/>
    <x v="3"/>
    <n v="5"/>
    <n v="5"/>
    <n v="6"/>
    <n v="16"/>
  </r>
  <r>
    <n v="5"/>
    <s v="蔣宥萱"/>
    <x v="3"/>
    <s v="彰化市"/>
    <x v="1"/>
    <n v="9"/>
    <n v="10"/>
    <n v="10"/>
    <n v="29"/>
  </r>
  <r>
    <n v="6"/>
    <s v="張以瑩"/>
    <x v="1"/>
    <s v="士林區"/>
    <x v="1"/>
    <n v="34"/>
    <n v="30"/>
    <n v="33"/>
    <n v="97"/>
  </r>
  <r>
    <n v="7"/>
    <s v="林裕倫"/>
    <x v="2"/>
    <s v="鳳山區"/>
    <x v="1"/>
    <n v="15"/>
    <n v="13"/>
    <n v="15"/>
    <n v="43"/>
  </r>
  <r>
    <n v="8"/>
    <s v="林秉宣"/>
    <x v="0"/>
    <s v="新店區"/>
    <x v="3"/>
    <n v="4"/>
    <n v="4"/>
    <n v="4"/>
    <n v="12"/>
  </r>
  <r>
    <n v="9"/>
    <s v="謝佳逸"/>
    <x v="3"/>
    <s v="彰化市"/>
    <x v="1"/>
    <n v="17"/>
    <n v="15"/>
    <n v="13"/>
    <n v="45"/>
  </r>
  <r>
    <n v="10"/>
    <s v="鄭漢汶"/>
    <x v="2"/>
    <s v="鳳山區"/>
    <x v="3"/>
    <n v="12"/>
    <n v="12"/>
    <n v="15"/>
    <n v="39"/>
  </r>
  <r>
    <n v="11"/>
    <s v="陳蕎姿"/>
    <x v="4"/>
    <s v="北區"/>
    <x v="1"/>
    <n v="5"/>
    <n v="6"/>
    <n v="5"/>
    <n v="16"/>
  </r>
  <r>
    <n v="12"/>
    <s v="盧于晴"/>
    <x v="1"/>
    <s v="信義區"/>
    <x v="1"/>
    <n v="8"/>
    <n v="9"/>
    <n v="10"/>
    <n v="27"/>
  </r>
  <r>
    <n v="13"/>
    <s v="黃孜歆"/>
    <x v="0"/>
    <s v="新店區"/>
    <x v="0"/>
    <n v="74"/>
    <n v="65"/>
    <n v="50"/>
    <n v="189"/>
  </r>
  <r>
    <n v="14"/>
    <s v="胡建綸"/>
    <x v="0"/>
    <s v="永和區"/>
    <x v="4"/>
    <n v="28"/>
    <n v="30"/>
    <n v="32"/>
    <n v="90"/>
  </r>
  <r>
    <n v="15"/>
    <s v="陳立菁"/>
    <x v="0"/>
    <s v="三峽區"/>
    <x v="2"/>
    <n v="8"/>
    <n v="8"/>
    <n v="9"/>
    <n v="25"/>
  </r>
  <r>
    <n v="16"/>
    <s v="劉悅瑄"/>
    <x v="1"/>
    <s v="內湖區"/>
    <x v="3"/>
    <n v="3"/>
    <n v="3"/>
    <n v="3"/>
    <n v="9"/>
  </r>
  <r>
    <n v="17"/>
    <s v="曾佳誠"/>
    <x v="5"/>
    <s v="民雄鄉"/>
    <x v="2"/>
    <n v="12"/>
    <n v="10"/>
    <n v="8"/>
    <n v="30"/>
  </r>
  <r>
    <n v="18"/>
    <s v="賴子瑄"/>
    <x v="0"/>
    <s v="八里區"/>
    <x v="1"/>
    <n v="18"/>
    <n v="19"/>
    <n v="21"/>
    <n v="58"/>
  </r>
  <r>
    <n v="19"/>
    <s v="陳雯瑋"/>
    <x v="1"/>
    <s v="萬華區"/>
    <x v="1"/>
    <n v="21"/>
    <n v="25"/>
    <n v="28"/>
    <n v="74"/>
  </r>
  <r>
    <n v="20"/>
    <s v="廖家辰"/>
    <x v="0"/>
    <s v="淡水區"/>
    <x v="2"/>
    <n v="7"/>
    <n v="8"/>
    <n v="6"/>
    <n v="21"/>
  </r>
  <r>
    <n v="21"/>
    <s v="李奕璿"/>
    <x v="4"/>
    <s v="外埔區"/>
    <x v="1"/>
    <n v="10"/>
    <n v="8"/>
    <n v="9"/>
    <n v="27"/>
  </r>
  <r>
    <n v="22"/>
    <s v="楊宜達"/>
    <x v="2"/>
    <s v="三民區"/>
    <x v="2"/>
    <n v="7"/>
    <n v="7"/>
    <n v="8"/>
    <n v="22"/>
  </r>
  <r>
    <n v="23"/>
    <s v="康奇勝"/>
    <x v="0"/>
    <s v="蘆洲區"/>
    <x v="1"/>
    <n v="19"/>
    <n v="22"/>
    <n v="17"/>
    <n v="58"/>
  </r>
  <r>
    <n v="24"/>
    <s v="翁韋羽"/>
    <x v="2"/>
    <s v="鳳山區"/>
    <x v="3"/>
    <n v="4"/>
    <n v="4"/>
    <n v="4"/>
    <n v="12"/>
  </r>
  <r>
    <n v="25"/>
    <s v="李聿璇"/>
    <x v="0"/>
    <s v="中和區"/>
    <x v="0"/>
    <n v="38"/>
    <n v="35"/>
    <n v="30"/>
    <n v="103"/>
  </r>
  <r>
    <n v="26"/>
    <s v="朱馨瑾"/>
    <x v="1"/>
    <s v="內湖區"/>
    <x v="1"/>
    <n v="4"/>
    <n v="4"/>
    <n v="4"/>
    <n v="12"/>
  </r>
  <r>
    <n v="27"/>
    <s v="康登萱"/>
    <x v="4"/>
    <s v="西屯區"/>
    <x v="4"/>
    <n v="28"/>
    <n v="32"/>
    <n v="36"/>
    <n v="96"/>
  </r>
  <r>
    <n v="28"/>
    <s v="鍾鈺軒"/>
    <x v="0"/>
    <s v="板橋區"/>
    <x v="0"/>
    <n v="46"/>
    <n v="51"/>
    <n v="39"/>
    <n v="136"/>
  </r>
  <r>
    <n v="29"/>
    <s v="陳芝芳"/>
    <x v="4"/>
    <s v="西屯區"/>
    <x v="3"/>
    <n v="7"/>
    <n v="7"/>
    <n v="7"/>
    <n v="21"/>
  </r>
  <r>
    <n v="30"/>
    <s v="許庭豪"/>
    <x v="4"/>
    <s v="東區"/>
    <x v="3"/>
    <n v="2"/>
    <n v="2"/>
    <n v="2"/>
    <n v="6"/>
  </r>
  <r>
    <n v="31"/>
    <s v="廖錦懿"/>
    <x v="1"/>
    <s v="中正區"/>
    <x v="0"/>
    <n v="28"/>
    <n v="25"/>
    <n v="30"/>
    <n v="83"/>
  </r>
  <r>
    <n v="32"/>
    <s v="陳郁鈞"/>
    <x v="1"/>
    <s v="內湖區"/>
    <x v="0"/>
    <n v="11"/>
    <n v="10"/>
    <n v="10"/>
    <n v="31"/>
  </r>
  <r>
    <n v="33"/>
    <s v="黃涵庭"/>
    <x v="0"/>
    <s v="新店區"/>
    <x v="0"/>
    <n v="16"/>
    <n v="19"/>
    <n v="22"/>
    <n v="57"/>
  </r>
  <r>
    <n v="34"/>
    <s v="廖典容"/>
    <x v="2"/>
    <s v="鼓山區"/>
    <x v="0"/>
    <n v="25"/>
    <n v="30"/>
    <n v="37"/>
    <n v="92"/>
  </r>
  <r>
    <n v="35"/>
    <s v="洪杰恩"/>
    <x v="4"/>
    <s v="北屯區"/>
    <x v="1"/>
    <n v="11"/>
    <n v="12"/>
    <n v="15"/>
    <n v="38"/>
  </r>
  <r>
    <n v="36"/>
    <s v="陳濰甄"/>
    <x v="1"/>
    <s v="中山區"/>
    <x v="0"/>
    <n v="48"/>
    <n v="56"/>
    <n v="71"/>
    <n v="175"/>
  </r>
  <r>
    <n v="37"/>
    <s v="楊雅筠"/>
    <x v="6"/>
    <s v="仁德區"/>
    <x v="3"/>
    <n v="4"/>
    <n v="4"/>
    <n v="4"/>
    <n v="12"/>
  </r>
  <r>
    <n v="38"/>
    <s v="蔣于涵"/>
    <x v="0"/>
    <s v="蘆洲區"/>
    <x v="4"/>
    <n v="19"/>
    <n v="22"/>
    <n v="20"/>
    <n v="61"/>
  </r>
  <r>
    <n v="39"/>
    <s v="朱承酉"/>
    <x v="1"/>
    <s v="南港區"/>
    <x v="4"/>
    <n v="29"/>
    <n v="23"/>
    <n v="29"/>
    <n v="81"/>
  </r>
  <r>
    <n v="40"/>
    <s v="游崑軍"/>
    <x v="6"/>
    <s v="玉井區"/>
    <x v="1"/>
    <n v="19"/>
    <n v="16"/>
    <n v="20"/>
    <n v="55"/>
  </r>
  <r>
    <n v="41"/>
    <s v="李欣弘"/>
    <x v="6"/>
    <s v="東區"/>
    <x v="4"/>
    <n v="20"/>
    <n v="24"/>
    <n v="28"/>
    <n v="72"/>
  </r>
  <r>
    <n v="42"/>
    <s v="宋曉瀚"/>
    <x v="0"/>
    <s v="汐止區"/>
    <x v="4"/>
    <n v="9"/>
    <n v="10"/>
    <n v="12"/>
    <n v="31"/>
  </r>
  <r>
    <n v="43"/>
    <s v="李佩伊"/>
    <x v="0"/>
    <s v="永和區"/>
    <x v="3"/>
    <n v="6"/>
    <n v="7"/>
    <n v="7"/>
    <n v="20"/>
  </r>
  <r>
    <n v="44"/>
    <s v="曹任如"/>
    <x v="2"/>
    <s v="前金區"/>
    <x v="1"/>
    <n v="12"/>
    <n v="13"/>
    <n v="16"/>
    <n v="41"/>
  </r>
  <r>
    <n v="45"/>
    <s v="江雅瑩"/>
    <x v="1"/>
    <s v="中山區"/>
    <x v="0"/>
    <n v="13"/>
    <n v="12"/>
    <n v="10"/>
    <n v="35"/>
  </r>
  <r>
    <n v="46"/>
    <s v="游又潔"/>
    <x v="0"/>
    <s v="新莊區"/>
    <x v="0"/>
    <n v="46"/>
    <n v="54"/>
    <n v="42"/>
    <n v="142"/>
  </r>
  <r>
    <n v="47"/>
    <s v="周庭蓁"/>
    <x v="0"/>
    <s v="淡水區"/>
    <x v="0"/>
    <n v="32"/>
    <n v="30"/>
    <n v="34"/>
    <n v="96"/>
  </r>
  <r>
    <n v="48"/>
    <s v="曾俊諭"/>
    <x v="6"/>
    <s v="北區"/>
    <x v="0"/>
    <n v="55"/>
    <n v="59"/>
    <n v="75"/>
    <n v="189"/>
  </r>
  <r>
    <n v="49"/>
    <s v="許恩容"/>
    <x v="7"/>
    <s v="西螺鎮"/>
    <x v="4"/>
    <n v="17"/>
    <n v="16"/>
    <n v="15"/>
    <n v="48"/>
  </r>
  <r>
    <n v="50"/>
    <s v="陳庭娟"/>
    <x v="3"/>
    <s v="彰化市"/>
    <x v="0"/>
    <n v="24"/>
    <n v="20"/>
    <n v="17"/>
    <n v="61"/>
  </r>
  <r>
    <n v="51"/>
    <s v="陳雅憲"/>
    <x v="4"/>
    <s v="西屯區"/>
    <x v="4"/>
    <n v="28"/>
    <n v="23"/>
    <n v="18"/>
    <n v="69"/>
  </r>
  <r>
    <n v="52"/>
    <s v="郭于哲"/>
    <x v="8"/>
    <s v="龍潭區"/>
    <x v="4"/>
    <n v="18"/>
    <n v="20"/>
    <n v="18"/>
    <n v="56"/>
  </r>
  <r>
    <n v="53"/>
    <s v="蔡冠諺"/>
    <x v="5"/>
    <s v="民雄鄉"/>
    <x v="0"/>
    <n v="38"/>
    <n v="44"/>
    <n v="39"/>
    <n v="121"/>
  </r>
  <r>
    <n v="54"/>
    <s v="楊世涵"/>
    <x v="6"/>
    <s v="中西區"/>
    <x v="3"/>
    <n v="2"/>
    <n v="2"/>
    <n v="2"/>
    <n v="6"/>
  </r>
  <r>
    <n v="55"/>
    <s v="黃佳安"/>
    <x v="4"/>
    <s v="北區"/>
    <x v="0"/>
    <n v="51"/>
    <n v="41"/>
    <n v="45"/>
    <n v="137"/>
  </r>
  <r>
    <n v="56"/>
    <s v="饒思淞"/>
    <x v="0"/>
    <s v="中和區"/>
    <x v="2"/>
    <n v="8"/>
    <n v="8"/>
    <n v="10"/>
    <n v="26"/>
  </r>
  <r>
    <n v="57"/>
    <s v="蘇育妤"/>
    <x v="0"/>
    <s v="土城區"/>
    <x v="0"/>
    <n v="49"/>
    <n v="53"/>
    <n v="59"/>
    <n v="161"/>
  </r>
  <r>
    <n v="58"/>
    <s v="孫曉穎"/>
    <x v="1"/>
    <s v="大同區"/>
    <x v="1"/>
    <n v="14"/>
    <n v="12"/>
    <n v="13"/>
    <n v="39"/>
  </r>
  <r>
    <n v="59"/>
    <s v="吳謙君"/>
    <x v="0"/>
    <s v="新店區"/>
    <x v="1"/>
    <n v="15"/>
    <n v="16"/>
    <n v="14"/>
    <n v="45"/>
  </r>
  <r>
    <n v="60"/>
    <s v="高筑拓"/>
    <x v="1"/>
    <s v="北投區"/>
    <x v="1"/>
    <n v="26"/>
    <n v="28"/>
    <n v="32"/>
    <n v="86"/>
  </r>
  <r>
    <n v="61"/>
    <s v="彭淵琪"/>
    <x v="0"/>
    <s v="永和區"/>
    <x v="1"/>
    <n v="13"/>
    <n v="11"/>
    <n v="10"/>
    <n v="34"/>
  </r>
  <r>
    <n v="62"/>
    <s v="沈嘉怡"/>
    <x v="1"/>
    <s v="士林區"/>
    <x v="0"/>
    <n v="13"/>
    <n v="14"/>
    <n v="17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3BB7B-6B33-412B-ADD9-940D6752C546}" name="樞紐分析表1" cacheId="1" applyNumberFormats="0" applyBorderFormats="0" applyFontFormats="0" applyPatternFormats="0" applyAlignmentFormats="0" applyWidthHeightFormats="1" dataCaption="值" updatedVersion="7" minRefreshableVersion="3" useAutoFormatting="1" itemPrintTitles="1" createdVersion="6" indent="0" outline="1" outlineData="1" multipleFieldFilters="0" rowHeaderCaption="縣市鄉鎮區">
  <location ref="A3:B13" firstHeaderRow="1" firstDataRow="1" firstDataCol="1" rowPageCount="1" colPageCount="1"/>
  <pivotFields count="9">
    <pivotField showAll="0"/>
    <pivotField dataField="1" showAll="0"/>
    <pivotField axis="axisRow" showAll="0">
      <items count="10">
        <item x="0"/>
        <item x="1"/>
        <item x="8"/>
        <item x="4"/>
        <item x="3"/>
        <item x="7"/>
        <item x="5"/>
        <item x="6"/>
        <item x="2"/>
        <item t="default"/>
      </items>
    </pivotField>
    <pivotField showAll="0"/>
    <pivotField axis="axisPage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" hier="-1"/>
  </pageFields>
  <dataFields count="1">
    <dataField name="用戶人數" fld="1" subtotal="count" baseField="2" baseItem="3"/>
  </dataFields>
  <formats count="5">
    <format dxfId="9">
      <pivotArea type="all" dataOnly="0" outline="0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2D837-0AC0-409B-BFAE-2FED8FC14580}" name="表格1" displayName="表格1" ref="L3:N30" totalsRowShown="0" tableBorderDxfId="13">
  <autoFilter ref="L3:N30" xr:uid="{7E5CE780-CA6C-4868-B639-A729396FFC01}"/>
  <tableColumns count="3">
    <tableColumn id="1" xr3:uid="{94A6BB9A-4E4F-4649-A6EE-6E8303D42D10}" name="縣市" dataDxfId="12"/>
    <tableColumn id="2" xr3:uid="{43BD4E1B-483C-4988-BABA-F49B41BFF300}" name="方案" dataDxfId="11"/>
    <tableColumn id="3" xr3:uid="{6CDFD439-CC86-413C-8DBE-255B798881A6}" name="平均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417D-2FD9-4F8A-B428-F70612ACE8F3}">
  <dimension ref="A1:F13"/>
  <sheetViews>
    <sheetView tabSelected="1" workbookViewId="0">
      <selection activeCell="F11" sqref="F11"/>
    </sheetView>
  </sheetViews>
  <sheetFormatPr defaultRowHeight="15"/>
  <cols>
    <col min="1" max="1" width="9.140625" style="13"/>
    <col min="2" max="4" width="13.85546875" style="13" customWidth="1"/>
    <col min="5" max="5" width="11.7109375" style="13" customWidth="1"/>
    <col min="6" max="6" width="16" style="13" customWidth="1"/>
    <col min="7" max="16384" width="9.140625" style="13"/>
  </cols>
  <sheetData>
    <row r="1" spans="1:6" ht="20.25">
      <c r="A1" s="53" t="s">
        <v>154</v>
      </c>
      <c r="B1" s="53"/>
      <c r="C1" s="53"/>
      <c r="D1" s="53"/>
      <c r="E1" s="53"/>
      <c r="F1" s="53"/>
    </row>
    <row r="2" spans="1:6" ht="16.5">
      <c r="A2" s="54" t="s">
        <v>203</v>
      </c>
      <c r="B2" s="54"/>
      <c r="C2" s="54"/>
      <c r="D2" s="54"/>
      <c r="E2" s="54"/>
      <c r="F2" s="54"/>
    </row>
    <row r="3" spans="1:6" ht="15.75" thickBot="1">
      <c r="A3" s="38" t="s">
        <v>3</v>
      </c>
      <c r="B3" s="39" t="s">
        <v>129</v>
      </c>
      <c r="C3" s="39" t="s">
        <v>130</v>
      </c>
      <c r="D3" s="39" t="s">
        <v>131</v>
      </c>
      <c r="E3" s="39" t="s">
        <v>164</v>
      </c>
      <c r="F3" s="39" t="s">
        <v>202</v>
      </c>
    </row>
    <row r="4" spans="1:6">
      <c r="A4" s="40" t="s">
        <v>76</v>
      </c>
      <c r="B4" s="42">
        <v>515</v>
      </c>
      <c r="C4" s="42">
        <v>541</v>
      </c>
      <c r="D4" s="42">
        <v>498</v>
      </c>
      <c r="E4" s="42">
        <v>1554</v>
      </c>
      <c r="F4" s="46">
        <f t="shared" ref="F4:F12" si="0">E4/SUM($E$4:$E$12)</f>
        <v>0.41056803170409512</v>
      </c>
    </row>
    <row r="5" spans="1:6">
      <c r="A5" s="41" t="s">
        <v>78</v>
      </c>
      <c r="B5" s="43">
        <v>265</v>
      </c>
      <c r="C5" s="43">
        <v>265</v>
      </c>
      <c r="D5" s="43">
        <v>302</v>
      </c>
      <c r="E5" s="43">
        <v>832</v>
      </c>
      <c r="F5" s="47">
        <f t="shared" si="0"/>
        <v>0.21981505944517835</v>
      </c>
    </row>
    <row r="6" spans="1:6">
      <c r="A6" s="41" t="s">
        <v>117</v>
      </c>
      <c r="B6" s="43">
        <v>18</v>
      </c>
      <c r="C6" s="43">
        <v>20</v>
      </c>
      <c r="D6" s="43">
        <v>18</v>
      </c>
      <c r="E6" s="43">
        <v>56</v>
      </c>
      <c r="F6" s="47">
        <f t="shared" si="0"/>
        <v>1.4795244385733158E-2</v>
      </c>
    </row>
    <row r="7" spans="1:6">
      <c r="A7" s="41" t="s">
        <v>87</v>
      </c>
      <c r="B7" s="43">
        <v>142</v>
      </c>
      <c r="C7" s="43">
        <v>131</v>
      </c>
      <c r="D7" s="43">
        <v>137</v>
      </c>
      <c r="E7" s="43">
        <v>410</v>
      </c>
      <c r="F7" s="47">
        <f t="shared" si="0"/>
        <v>0.1083223249669749</v>
      </c>
    </row>
    <row r="8" spans="1:6">
      <c r="A8" s="41" t="s">
        <v>82</v>
      </c>
      <c r="B8" s="43">
        <v>50</v>
      </c>
      <c r="C8" s="43">
        <v>45</v>
      </c>
      <c r="D8" s="43">
        <v>40</v>
      </c>
      <c r="E8" s="43">
        <v>135</v>
      </c>
      <c r="F8" s="47">
        <f t="shared" si="0"/>
        <v>3.5667107001321002E-2</v>
      </c>
    </row>
    <row r="9" spans="1:6">
      <c r="A9" s="41" t="s">
        <v>115</v>
      </c>
      <c r="B9" s="43">
        <v>17</v>
      </c>
      <c r="C9" s="43">
        <v>16</v>
      </c>
      <c r="D9" s="43">
        <v>15</v>
      </c>
      <c r="E9" s="43">
        <v>48</v>
      </c>
      <c r="F9" s="47">
        <f t="shared" si="0"/>
        <v>1.2681638044914135E-2</v>
      </c>
    </row>
    <row r="10" spans="1:6">
      <c r="A10" s="41" t="s">
        <v>93</v>
      </c>
      <c r="B10" s="43">
        <v>50</v>
      </c>
      <c r="C10" s="43">
        <v>54</v>
      </c>
      <c r="D10" s="43">
        <v>47</v>
      </c>
      <c r="E10" s="43">
        <v>151</v>
      </c>
      <c r="F10" s="47">
        <f t="shared" si="0"/>
        <v>3.9894319682959048E-2</v>
      </c>
    </row>
    <row r="11" spans="1:6">
      <c r="A11" s="41" t="s">
        <v>108</v>
      </c>
      <c r="B11" s="43">
        <v>100</v>
      </c>
      <c r="C11" s="43">
        <v>105</v>
      </c>
      <c r="D11" s="43">
        <v>129</v>
      </c>
      <c r="E11" s="43">
        <v>334</v>
      </c>
      <c r="F11" s="47">
        <f t="shared" si="0"/>
        <v>8.8243064729194187E-2</v>
      </c>
    </row>
    <row r="12" spans="1:6" ht="15.75" thickBot="1">
      <c r="A12" s="41" t="s">
        <v>80</v>
      </c>
      <c r="B12" s="43">
        <v>80</v>
      </c>
      <c r="C12" s="43">
        <v>84</v>
      </c>
      <c r="D12" s="43">
        <v>101</v>
      </c>
      <c r="E12" s="43">
        <v>265</v>
      </c>
      <c r="F12" s="47">
        <f t="shared" si="0"/>
        <v>7.0013210039630125E-2</v>
      </c>
    </row>
    <row r="13" spans="1:6" ht="15.75" thickTop="1">
      <c r="A13" s="44" t="s">
        <v>0</v>
      </c>
      <c r="B13" s="45">
        <f t="shared" ref="B13:E13" si="1">SUM(B4:B12)</f>
        <v>1237</v>
      </c>
      <c r="C13" s="45">
        <f t="shared" si="1"/>
        <v>1261</v>
      </c>
      <c r="D13" s="45">
        <f t="shared" si="1"/>
        <v>1287</v>
      </c>
      <c r="E13" s="45">
        <f t="shared" si="1"/>
        <v>3785</v>
      </c>
      <c r="F13" s="48">
        <f>SUM(F4:F12)</f>
        <v>1.0000000000000002</v>
      </c>
    </row>
  </sheetData>
  <mergeCells count="2">
    <mergeCell ref="A1:F1"/>
    <mergeCell ref="A2:F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workbookViewId="0">
      <selection activeCell="N4" sqref="N4"/>
    </sheetView>
  </sheetViews>
  <sheetFormatPr defaultRowHeight="15"/>
  <cols>
    <col min="1" max="1" width="6.28515625" style="13" bestFit="1" customWidth="1"/>
    <col min="2" max="2" width="11.7109375" style="13" customWidth="1"/>
    <col min="3" max="3" width="9.140625" style="13"/>
    <col min="4" max="4" width="9.5703125" style="13" customWidth="1"/>
    <col min="5" max="5" width="10.5703125" style="13" bestFit="1" customWidth="1"/>
    <col min="6" max="8" width="13" style="13" bestFit="1" customWidth="1"/>
    <col min="9" max="9" width="14" style="13" bestFit="1" customWidth="1"/>
    <col min="10" max="11" width="5.5703125" style="13" customWidth="1"/>
    <col min="12" max="12" width="9.140625" style="13"/>
    <col min="13" max="13" width="8.42578125" style="13" bestFit="1" customWidth="1"/>
    <col min="14" max="14" width="12.140625" style="13" customWidth="1"/>
    <col min="15" max="16" width="9.140625" style="13"/>
    <col min="17" max="17" width="10.5703125" style="13" bestFit="1" customWidth="1"/>
    <col min="18" max="18" width="18" style="13" bestFit="1" customWidth="1"/>
    <col min="19" max="16384" width="9.140625" style="13"/>
  </cols>
  <sheetData>
    <row r="1" spans="1:18" ht="20.25">
      <c r="A1" s="55" t="s">
        <v>154</v>
      </c>
      <c r="B1" s="55"/>
      <c r="C1" s="55"/>
      <c r="D1" s="55"/>
      <c r="E1" s="55"/>
      <c r="F1" s="55"/>
      <c r="G1" s="55"/>
      <c r="H1" s="55"/>
      <c r="I1" s="55"/>
      <c r="L1" s="57" t="s">
        <v>166</v>
      </c>
      <c r="M1" s="57"/>
      <c r="N1" s="57"/>
    </row>
    <row r="2" spans="1:18" ht="16.5">
      <c r="A2" s="56" t="s">
        <v>155</v>
      </c>
      <c r="B2" s="56"/>
      <c r="C2" s="56"/>
      <c r="D2" s="56"/>
      <c r="E2" s="56"/>
      <c r="F2" s="56"/>
      <c r="G2" s="56"/>
      <c r="H2" s="56"/>
      <c r="I2" s="56"/>
      <c r="L2" s="58" t="s">
        <v>167</v>
      </c>
      <c r="M2" s="58"/>
      <c r="N2" s="58"/>
    </row>
    <row r="3" spans="1:18">
      <c r="A3" s="1" t="s">
        <v>1</v>
      </c>
      <c r="B3" s="1" t="s">
        <v>2</v>
      </c>
      <c r="C3" s="1" t="s">
        <v>3</v>
      </c>
      <c r="D3" s="1" t="s">
        <v>128</v>
      </c>
      <c r="E3" s="1" t="s">
        <v>5</v>
      </c>
      <c r="F3" s="1" t="s">
        <v>129</v>
      </c>
      <c r="G3" s="1" t="s">
        <v>130</v>
      </c>
      <c r="H3" s="1" t="s">
        <v>131</v>
      </c>
      <c r="I3" s="12" t="s">
        <v>170</v>
      </c>
      <c r="L3" s="49" t="s">
        <v>3</v>
      </c>
      <c r="M3" s="21" t="s">
        <v>168</v>
      </c>
      <c r="N3" s="51" t="s">
        <v>165</v>
      </c>
      <c r="Q3" s="2" t="s">
        <v>5</v>
      </c>
      <c r="R3" s="2" t="s">
        <v>6</v>
      </c>
    </row>
    <row r="4" spans="1:18">
      <c r="A4" s="14">
        <v>1</v>
      </c>
      <c r="B4" s="15" t="s">
        <v>17</v>
      </c>
      <c r="C4" s="16" t="s">
        <v>76</v>
      </c>
      <c r="D4" s="16" t="s">
        <v>77</v>
      </c>
      <c r="E4" s="16" t="s">
        <v>11</v>
      </c>
      <c r="F4" s="17">
        <v>52</v>
      </c>
      <c r="G4" s="17">
        <v>62</v>
      </c>
      <c r="H4" s="17">
        <v>54</v>
      </c>
      <c r="I4" s="17">
        <f t="shared" ref="I4:I35" si="0">F4+G4+H4</f>
        <v>168</v>
      </c>
      <c r="L4" s="50" t="s">
        <v>156</v>
      </c>
      <c r="M4" s="22" t="s">
        <v>12</v>
      </c>
      <c r="N4" s="52"/>
      <c r="Q4" s="18" t="s">
        <v>12</v>
      </c>
      <c r="R4" s="19" t="s">
        <v>4</v>
      </c>
    </row>
    <row r="5" spans="1:18">
      <c r="A5" s="14">
        <v>2</v>
      </c>
      <c r="B5" s="15" t="s">
        <v>18</v>
      </c>
      <c r="C5" s="16" t="s">
        <v>78</v>
      </c>
      <c r="D5" s="16" t="s">
        <v>79</v>
      </c>
      <c r="E5" s="16" t="s">
        <v>9</v>
      </c>
      <c r="F5" s="17">
        <v>13</v>
      </c>
      <c r="G5" s="17">
        <v>14</v>
      </c>
      <c r="H5" s="17">
        <v>12</v>
      </c>
      <c r="I5" s="17">
        <f t="shared" si="0"/>
        <v>39</v>
      </c>
      <c r="L5" s="50" t="s">
        <v>156</v>
      </c>
      <c r="M5" s="22" t="s">
        <v>8</v>
      </c>
      <c r="N5" s="52"/>
      <c r="Q5" s="18" t="s">
        <v>14</v>
      </c>
      <c r="R5" s="19">
        <v>26</v>
      </c>
    </row>
    <row r="6" spans="1:18">
      <c r="A6" s="14">
        <v>3</v>
      </c>
      <c r="B6" s="15" t="s">
        <v>19</v>
      </c>
      <c r="C6" s="16" t="s">
        <v>76</v>
      </c>
      <c r="D6" s="16" t="s">
        <v>77</v>
      </c>
      <c r="E6" s="16" t="s">
        <v>7</v>
      </c>
      <c r="F6" s="17">
        <v>8</v>
      </c>
      <c r="G6" s="17">
        <v>7</v>
      </c>
      <c r="H6" s="17">
        <v>6</v>
      </c>
      <c r="I6" s="17">
        <f t="shared" si="0"/>
        <v>21</v>
      </c>
      <c r="L6" s="50" t="s">
        <v>156</v>
      </c>
      <c r="M6" s="22" t="s">
        <v>16</v>
      </c>
      <c r="N6" s="52"/>
      <c r="Q6" s="18" t="s">
        <v>10</v>
      </c>
      <c r="R6" s="19">
        <v>16</v>
      </c>
    </row>
    <row r="7" spans="1:18">
      <c r="A7" s="14">
        <v>4</v>
      </c>
      <c r="B7" s="15" t="s">
        <v>20</v>
      </c>
      <c r="C7" s="16" t="s">
        <v>80</v>
      </c>
      <c r="D7" s="16" t="s">
        <v>81</v>
      </c>
      <c r="E7" s="16" t="s">
        <v>15</v>
      </c>
      <c r="F7" s="17">
        <v>5</v>
      </c>
      <c r="G7" s="17">
        <v>5</v>
      </c>
      <c r="H7" s="17">
        <v>6</v>
      </c>
      <c r="I7" s="17">
        <f t="shared" si="0"/>
        <v>16</v>
      </c>
      <c r="L7" s="50" t="s">
        <v>156</v>
      </c>
      <c r="M7" s="22" t="s">
        <v>14</v>
      </c>
      <c r="N7" s="52"/>
      <c r="Q7" s="18" t="s">
        <v>8</v>
      </c>
      <c r="R7" s="19">
        <v>9</v>
      </c>
    </row>
    <row r="8" spans="1:18">
      <c r="A8" s="14">
        <v>5</v>
      </c>
      <c r="B8" s="15" t="s">
        <v>21</v>
      </c>
      <c r="C8" s="16" t="s">
        <v>82</v>
      </c>
      <c r="D8" s="16" t="s">
        <v>83</v>
      </c>
      <c r="E8" s="16" t="s">
        <v>9</v>
      </c>
      <c r="F8" s="17">
        <v>9</v>
      </c>
      <c r="G8" s="17">
        <v>10</v>
      </c>
      <c r="H8" s="17">
        <v>10</v>
      </c>
      <c r="I8" s="17">
        <f t="shared" si="0"/>
        <v>29</v>
      </c>
      <c r="L8" s="50" t="s">
        <v>156</v>
      </c>
      <c r="M8" s="22" t="s">
        <v>10</v>
      </c>
      <c r="N8" s="52"/>
      <c r="Q8" s="18" t="s">
        <v>16</v>
      </c>
      <c r="R8" s="19">
        <v>6</v>
      </c>
    </row>
    <row r="9" spans="1:18">
      <c r="A9" s="14">
        <v>6</v>
      </c>
      <c r="B9" s="15" t="s">
        <v>22</v>
      </c>
      <c r="C9" s="16" t="s">
        <v>78</v>
      </c>
      <c r="D9" s="16" t="s">
        <v>84</v>
      </c>
      <c r="E9" s="16" t="s">
        <v>9</v>
      </c>
      <c r="F9" s="17">
        <v>34</v>
      </c>
      <c r="G9" s="17">
        <v>30</v>
      </c>
      <c r="H9" s="17">
        <v>33</v>
      </c>
      <c r="I9" s="17">
        <f t="shared" si="0"/>
        <v>97</v>
      </c>
      <c r="L9" s="50" t="s">
        <v>125</v>
      </c>
      <c r="M9" s="22" t="s">
        <v>10</v>
      </c>
      <c r="N9" s="52"/>
    </row>
    <row r="10" spans="1:18">
      <c r="A10" s="14">
        <v>7</v>
      </c>
      <c r="B10" s="15" t="s">
        <v>23</v>
      </c>
      <c r="C10" s="16" t="s">
        <v>80</v>
      </c>
      <c r="D10" s="16" t="s">
        <v>85</v>
      </c>
      <c r="E10" s="16" t="s">
        <v>9</v>
      </c>
      <c r="F10" s="17">
        <v>15</v>
      </c>
      <c r="G10" s="17">
        <v>13</v>
      </c>
      <c r="H10" s="17">
        <v>15</v>
      </c>
      <c r="I10" s="17">
        <f t="shared" si="0"/>
        <v>43</v>
      </c>
      <c r="L10" s="50" t="s">
        <v>125</v>
      </c>
      <c r="M10" s="22" t="s">
        <v>16</v>
      </c>
      <c r="N10" s="52"/>
    </row>
    <row r="11" spans="1:18">
      <c r="A11" s="14">
        <v>8</v>
      </c>
      <c r="B11" s="15" t="s">
        <v>24</v>
      </c>
      <c r="C11" s="16" t="s">
        <v>76</v>
      </c>
      <c r="D11" s="16" t="s">
        <v>86</v>
      </c>
      <c r="E11" s="16" t="s">
        <v>15</v>
      </c>
      <c r="F11" s="17">
        <v>4</v>
      </c>
      <c r="G11" s="17">
        <v>4</v>
      </c>
      <c r="H11" s="17">
        <v>4</v>
      </c>
      <c r="I11" s="17">
        <f t="shared" si="0"/>
        <v>12</v>
      </c>
      <c r="L11" s="50" t="s">
        <v>125</v>
      </c>
      <c r="M11" s="22" t="s">
        <v>12</v>
      </c>
      <c r="N11" s="52"/>
    </row>
    <row r="12" spans="1:18">
      <c r="A12" s="14">
        <v>9</v>
      </c>
      <c r="B12" s="15" t="s">
        <v>25</v>
      </c>
      <c r="C12" s="16" t="s">
        <v>82</v>
      </c>
      <c r="D12" s="16" t="s">
        <v>83</v>
      </c>
      <c r="E12" s="16" t="s">
        <v>9</v>
      </c>
      <c r="F12" s="17">
        <v>17</v>
      </c>
      <c r="G12" s="17">
        <v>15</v>
      </c>
      <c r="H12" s="17">
        <v>13</v>
      </c>
      <c r="I12" s="17">
        <f t="shared" si="0"/>
        <v>45</v>
      </c>
      <c r="L12" s="50" t="s">
        <v>125</v>
      </c>
      <c r="M12" s="22" t="s">
        <v>14</v>
      </c>
      <c r="N12" s="52"/>
    </row>
    <row r="13" spans="1:18">
      <c r="A13" s="14">
        <v>10</v>
      </c>
      <c r="B13" s="15" t="s">
        <v>26</v>
      </c>
      <c r="C13" s="16" t="s">
        <v>80</v>
      </c>
      <c r="D13" s="16" t="s">
        <v>85</v>
      </c>
      <c r="E13" s="16" t="s">
        <v>15</v>
      </c>
      <c r="F13" s="17">
        <v>12</v>
      </c>
      <c r="G13" s="17">
        <v>12</v>
      </c>
      <c r="H13" s="17">
        <v>15</v>
      </c>
      <c r="I13" s="17">
        <f t="shared" si="0"/>
        <v>39</v>
      </c>
      <c r="L13" s="50" t="s">
        <v>163</v>
      </c>
      <c r="M13" s="22" t="s">
        <v>14</v>
      </c>
      <c r="N13" s="52"/>
    </row>
    <row r="14" spans="1:18">
      <c r="A14" s="14">
        <v>11</v>
      </c>
      <c r="B14" s="15" t="s">
        <v>27</v>
      </c>
      <c r="C14" s="16" t="s">
        <v>87</v>
      </c>
      <c r="D14" s="16" t="s">
        <v>88</v>
      </c>
      <c r="E14" s="16" t="s">
        <v>9</v>
      </c>
      <c r="F14" s="17">
        <v>5</v>
      </c>
      <c r="G14" s="17">
        <v>6</v>
      </c>
      <c r="H14" s="17">
        <v>5</v>
      </c>
      <c r="I14" s="17">
        <f t="shared" si="0"/>
        <v>16</v>
      </c>
      <c r="L14" s="50" t="s">
        <v>159</v>
      </c>
      <c r="M14" s="22" t="s">
        <v>10</v>
      </c>
      <c r="N14" s="52"/>
    </row>
    <row r="15" spans="1:18">
      <c r="A15" s="14">
        <v>12</v>
      </c>
      <c r="B15" s="15" t="s">
        <v>28</v>
      </c>
      <c r="C15" s="16" t="s">
        <v>78</v>
      </c>
      <c r="D15" s="16" t="s">
        <v>89</v>
      </c>
      <c r="E15" s="16" t="s">
        <v>9</v>
      </c>
      <c r="F15" s="17">
        <v>8</v>
      </c>
      <c r="G15" s="17">
        <v>9</v>
      </c>
      <c r="H15" s="17">
        <v>10</v>
      </c>
      <c r="I15" s="17">
        <f t="shared" si="0"/>
        <v>27</v>
      </c>
      <c r="L15" s="50" t="s">
        <v>159</v>
      </c>
      <c r="M15" s="22" t="s">
        <v>14</v>
      </c>
      <c r="N15" s="52"/>
    </row>
    <row r="16" spans="1:18">
      <c r="A16" s="14">
        <v>13</v>
      </c>
      <c r="B16" s="15" t="s">
        <v>29</v>
      </c>
      <c r="C16" s="16" t="s">
        <v>76</v>
      </c>
      <c r="D16" s="16" t="s">
        <v>86</v>
      </c>
      <c r="E16" s="16" t="s">
        <v>11</v>
      </c>
      <c r="F16" s="17">
        <v>74</v>
      </c>
      <c r="G16" s="17">
        <v>65</v>
      </c>
      <c r="H16" s="17">
        <v>50</v>
      </c>
      <c r="I16" s="17">
        <f t="shared" si="0"/>
        <v>189</v>
      </c>
      <c r="L16" s="50" t="s">
        <v>159</v>
      </c>
      <c r="M16" s="22" t="s">
        <v>16</v>
      </c>
      <c r="N16" s="52"/>
    </row>
    <row r="17" spans="1:14">
      <c r="A17" s="14">
        <v>14</v>
      </c>
      <c r="B17" s="15" t="s">
        <v>30</v>
      </c>
      <c r="C17" s="16" t="s">
        <v>76</v>
      </c>
      <c r="D17" s="16" t="s">
        <v>90</v>
      </c>
      <c r="E17" s="16" t="s">
        <v>13</v>
      </c>
      <c r="F17" s="17">
        <v>28</v>
      </c>
      <c r="G17" s="17">
        <v>30</v>
      </c>
      <c r="H17" s="17">
        <v>32</v>
      </c>
      <c r="I17" s="17">
        <f t="shared" si="0"/>
        <v>90</v>
      </c>
      <c r="L17" s="50" t="s">
        <v>159</v>
      </c>
      <c r="M17" s="22" t="s">
        <v>12</v>
      </c>
      <c r="N17" s="52"/>
    </row>
    <row r="18" spans="1:14">
      <c r="A18" s="14">
        <v>15</v>
      </c>
      <c r="B18" s="15" t="s">
        <v>31</v>
      </c>
      <c r="C18" s="16" t="s">
        <v>76</v>
      </c>
      <c r="D18" s="16" t="s">
        <v>91</v>
      </c>
      <c r="E18" s="16" t="s">
        <v>7</v>
      </c>
      <c r="F18" s="17">
        <v>8</v>
      </c>
      <c r="G18" s="17">
        <v>8</v>
      </c>
      <c r="H18" s="17">
        <v>9</v>
      </c>
      <c r="I18" s="17">
        <f t="shared" si="0"/>
        <v>25</v>
      </c>
      <c r="L18" s="50" t="s">
        <v>158</v>
      </c>
      <c r="M18" s="22" t="s">
        <v>10</v>
      </c>
      <c r="N18" s="52"/>
    </row>
    <row r="19" spans="1:14">
      <c r="A19" s="14">
        <v>16</v>
      </c>
      <c r="B19" s="15" t="s">
        <v>32</v>
      </c>
      <c r="C19" s="16" t="s">
        <v>78</v>
      </c>
      <c r="D19" s="16" t="s">
        <v>92</v>
      </c>
      <c r="E19" s="16" t="s">
        <v>15</v>
      </c>
      <c r="F19" s="17">
        <v>3</v>
      </c>
      <c r="G19" s="17">
        <v>3</v>
      </c>
      <c r="H19" s="17">
        <v>3</v>
      </c>
      <c r="I19" s="17">
        <f t="shared" si="0"/>
        <v>9</v>
      </c>
      <c r="L19" s="50" t="s">
        <v>158</v>
      </c>
      <c r="M19" s="22" t="s">
        <v>12</v>
      </c>
      <c r="N19" s="52"/>
    </row>
    <row r="20" spans="1:14">
      <c r="A20" s="14">
        <v>17</v>
      </c>
      <c r="B20" s="15" t="s">
        <v>33</v>
      </c>
      <c r="C20" s="16" t="s">
        <v>93</v>
      </c>
      <c r="D20" s="16" t="s">
        <v>94</v>
      </c>
      <c r="E20" s="16" t="s">
        <v>7</v>
      </c>
      <c r="F20" s="17">
        <v>12</v>
      </c>
      <c r="G20" s="17">
        <v>10</v>
      </c>
      <c r="H20" s="17">
        <v>8</v>
      </c>
      <c r="I20" s="17">
        <f t="shared" si="0"/>
        <v>30</v>
      </c>
      <c r="L20" s="50" t="s">
        <v>160</v>
      </c>
      <c r="M20" s="22" t="s">
        <v>8</v>
      </c>
      <c r="N20" s="52"/>
    </row>
    <row r="21" spans="1:14">
      <c r="A21" s="14">
        <v>18</v>
      </c>
      <c r="B21" s="15" t="s">
        <v>34</v>
      </c>
      <c r="C21" s="16" t="s">
        <v>76</v>
      </c>
      <c r="D21" s="16" t="s">
        <v>95</v>
      </c>
      <c r="E21" s="16" t="s">
        <v>9</v>
      </c>
      <c r="F21" s="17">
        <v>18</v>
      </c>
      <c r="G21" s="17">
        <v>19</v>
      </c>
      <c r="H21" s="17">
        <v>21</v>
      </c>
      <c r="I21" s="17">
        <f t="shared" si="0"/>
        <v>58</v>
      </c>
      <c r="L21" s="50" t="s">
        <v>160</v>
      </c>
      <c r="M21" s="22" t="s">
        <v>12</v>
      </c>
      <c r="N21" s="52"/>
    </row>
    <row r="22" spans="1:14">
      <c r="A22" s="14">
        <v>19</v>
      </c>
      <c r="B22" s="15" t="s">
        <v>35</v>
      </c>
      <c r="C22" s="16" t="s">
        <v>78</v>
      </c>
      <c r="D22" s="16" t="s">
        <v>96</v>
      </c>
      <c r="E22" s="16" t="s">
        <v>9</v>
      </c>
      <c r="F22" s="17">
        <v>21</v>
      </c>
      <c r="G22" s="17">
        <v>25</v>
      </c>
      <c r="H22" s="17">
        <v>28</v>
      </c>
      <c r="I22" s="17">
        <f t="shared" si="0"/>
        <v>74</v>
      </c>
      <c r="L22" s="50" t="s">
        <v>162</v>
      </c>
      <c r="M22" s="22" t="s">
        <v>14</v>
      </c>
      <c r="N22" s="52"/>
    </row>
    <row r="23" spans="1:14">
      <c r="A23" s="14">
        <v>20</v>
      </c>
      <c r="B23" s="15" t="s">
        <v>36</v>
      </c>
      <c r="C23" s="16" t="s">
        <v>76</v>
      </c>
      <c r="D23" s="16" t="s">
        <v>97</v>
      </c>
      <c r="E23" s="16" t="s">
        <v>7</v>
      </c>
      <c r="F23" s="17">
        <v>7</v>
      </c>
      <c r="G23" s="17">
        <v>8</v>
      </c>
      <c r="H23" s="17">
        <v>6</v>
      </c>
      <c r="I23" s="17">
        <f t="shared" si="0"/>
        <v>21</v>
      </c>
      <c r="L23" s="50" t="s">
        <v>161</v>
      </c>
      <c r="M23" s="22" t="s">
        <v>16</v>
      </c>
      <c r="N23" s="52"/>
    </row>
    <row r="24" spans="1:14">
      <c r="A24" s="14">
        <v>21</v>
      </c>
      <c r="B24" s="15" t="s">
        <v>37</v>
      </c>
      <c r="C24" s="16" t="s">
        <v>87</v>
      </c>
      <c r="D24" s="16" t="s">
        <v>98</v>
      </c>
      <c r="E24" s="16" t="s">
        <v>9</v>
      </c>
      <c r="F24" s="17">
        <v>10</v>
      </c>
      <c r="G24" s="17">
        <v>8</v>
      </c>
      <c r="H24" s="17">
        <v>9</v>
      </c>
      <c r="I24" s="17">
        <f t="shared" si="0"/>
        <v>27</v>
      </c>
      <c r="L24" s="50" t="s">
        <v>161</v>
      </c>
      <c r="M24" s="22" t="s">
        <v>10</v>
      </c>
      <c r="N24" s="52"/>
    </row>
    <row r="25" spans="1:14">
      <c r="A25" s="14">
        <v>22</v>
      </c>
      <c r="B25" s="15" t="s">
        <v>38</v>
      </c>
      <c r="C25" s="16" t="s">
        <v>80</v>
      </c>
      <c r="D25" s="16" t="s">
        <v>99</v>
      </c>
      <c r="E25" s="16" t="s">
        <v>7</v>
      </c>
      <c r="F25" s="17">
        <v>7</v>
      </c>
      <c r="G25" s="17">
        <v>7</v>
      </c>
      <c r="H25" s="17">
        <v>8</v>
      </c>
      <c r="I25" s="17">
        <f t="shared" si="0"/>
        <v>22</v>
      </c>
      <c r="L25" s="50" t="s">
        <v>161</v>
      </c>
      <c r="M25" s="22" t="s">
        <v>14</v>
      </c>
      <c r="N25" s="52"/>
    </row>
    <row r="26" spans="1:14">
      <c r="A26" s="14">
        <v>23</v>
      </c>
      <c r="B26" s="15" t="s">
        <v>39</v>
      </c>
      <c r="C26" s="16" t="s">
        <v>76</v>
      </c>
      <c r="D26" s="16" t="s">
        <v>100</v>
      </c>
      <c r="E26" s="16" t="s">
        <v>9</v>
      </c>
      <c r="F26" s="17">
        <v>19</v>
      </c>
      <c r="G26" s="17">
        <v>22</v>
      </c>
      <c r="H26" s="17">
        <v>17</v>
      </c>
      <c r="I26" s="17">
        <f t="shared" si="0"/>
        <v>58</v>
      </c>
      <c r="L26" s="50" t="s">
        <v>161</v>
      </c>
      <c r="M26" s="22" t="s">
        <v>12</v>
      </c>
      <c r="N26" s="52"/>
    </row>
    <row r="27" spans="1:14">
      <c r="A27" s="14">
        <v>24</v>
      </c>
      <c r="B27" s="15" t="s">
        <v>40</v>
      </c>
      <c r="C27" s="16" t="s">
        <v>80</v>
      </c>
      <c r="D27" s="16" t="s">
        <v>85</v>
      </c>
      <c r="E27" s="16" t="s">
        <v>15</v>
      </c>
      <c r="F27" s="17">
        <v>4</v>
      </c>
      <c r="G27" s="17">
        <v>4</v>
      </c>
      <c r="H27" s="17">
        <v>4</v>
      </c>
      <c r="I27" s="17">
        <f t="shared" si="0"/>
        <v>12</v>
      </c>
      <c r="L27" s="50" t="s">
        <v>157</v>
      </c>
      <c r="M27" s="22" t="s">
        <v>16</v>
      </c>
      <c r="N27" s="52"/>
    </row>
    <row r="28" spans="1:14">
      <c r="A28" s="14">
        <v>25</v>
      </c>
      <c r="B28" s="15" t="s">
        <v>41</v>
      </c>
      <c r="C28" s="16" t="s">
        <v>76</v>
      </c>
      <c r="D28" s="16" t="s">
        <v>101</v>
      </c>
      <c r="E28" s="16" t="s">
        <v>11</v>
      </c>
      <c r="F28" s="17">
        <v>38</v>
      </c>
      <c r="G28" s="17">
        <v>35</v>
      </c>
      <c r="H28" s="17">
        <v>30</v>
      </c>
      <c r="I28" s="17">
        <f t="shared" si="0"/>
        <v>103</v>
      </c>
      <c r="L28" s="50" t="s">
        <v>157</v>
      </c>
      <c r="M28" s="22" t="s">
        <v>10</v>
      </c>
      <c r="N28" s="52"/>
    </row>
    <row r="29" spans="1:14">
      <c r="A29" s="14">
        <v>26</v>
      </c>
      <c r="B29" s="15" t="s">
        <v>42</v>
      </c>
      <c r="C29" s="16" t="s">
        <v>78</v>
      </c>
      <c r="D29" s="16" t="s">
        <v>92</v>
      </c>
      <c r="E29" s="16" t="s">
        <v>9</v>
      </c>
      <c r="F29" s="17">
        <v>4</v>
      </c>
      <c r="G29" s="17">
        <v>4</v>
      </c>
      <c r="H29" s="17">
        <v>4</v>
      </c>
      <c r="I29" s="17">
        <f t="shared" si="0"/>
        <v>12</v>
      </c>
      <c r="L29" s="50" t="s">
        <v>157</v>
      </c>
      <c r="M29" s="22" t="s">
        <v>8</v>
      </c>
      <c r="N29" s="52"/>
    </row>
    <row r="30" spans="1:14">
      <c r="A30" s="14">
        <v>27</v>
      </c>
      <c r="B30" s="15" t="s">
        <v>43</v>
      </c>
      <c r="C30" s="16" t="s">
        <v>87</v>
      </c>
      <c r="D30" s="16" t="s">
        <v>102</v>
      </c>
      <c r="E30" s="16" t="s">
        <v>13</v>
      </c>
      <c r="F30" s="17">
        <v>28</v>
      </c>
      <c r="G30" s="17">
        <v>32</v>
      </c>
      <c r="H30" s="17">
        <v>36</v>
      </c>
      <c r="I30" s="17">
        <f t="shared" si="0"/>
        <v>96</v>
      </c>
      <c r="L30" s="50" t="s">
        <v>157</v>
      </c>
      <c r="M30" s="22" t="s">
        <v>12</v>
      </c>
      <c r="N30" s="52"/>
    </row>
    <row r="31" spans="1:14">
      <c r="A31" s="14">
        <v>28</v>
      </c>
      <c r="B31" s="15" t="s">
        <v>44</v>
      </c>
      <c r="C31" s="16" t="s">
        <v>76</v>
      </c>
      <c r="D31" s="16" t="s">
        <v>103</v>
      </c>
      <c r="E31" s="16" t="s">
        <v>11</v>
      </c>
      <c r="F31" s="17">
        <v>46</v>
      </c>
      <c r="G31" s="17">
        <v>51</v>
      </c>
      <c r="H31" s="17">
        <v>39</v>
      </c>
      <c r="I31" s="17">
        <f t="shared" si="0"/>
        <v>136</v>
      </c>
    </row>
    <row r="32" spans="1:14">
      <c r="A32" s="14">
        <v>29</v>
      </c>
      <c r="B32" s="15" t="s">
        <v>45</v>
      </c>
      <c r="C32" s="16" t="s">
        <v>87</v>
      </c>
      <c r="D32" s="16" t="s">
        <v>102</v>
      </c>
      <c r="E32" s="16" t="s">
        <v>15</v>
      </c>
      <c r="F32" s="17">
        <v>7</v>
      </c>
      <c r="G32" s="17">
        <v>7</v>
      </c>
      <c r="H32" s="17">
        <v>7</v>
      </c>
      <c r="I32" s="17">
        <f t="shared" si="0"/>
        <v>21</v>
      </c>
    </row>
    <row r="33" spans="1:9">
      <c r="A33" s="14">
        <v>30</v>
      </c>
      <c r="B33" s="15" t="s">
        <v>46</v>
      </c>
      <c r="C33" s="16" t="s">
        <v>87</v>
      </c>
      <c r="D33" s="16" t="s">
        <v>104</v>
      </c>
      <c r="E33" s="16" t="s">
        <v>15</v>
      </c>
      <c r="F33" s="17">
        <v>2</v>
      </c>
      <c r="G33" s="17">
        <v>2</v>
      </c>
      <c r="H33" s="17">
        <v>2</v>
      </c>
      <c r="I33" s="17">
        <f t="shared" si="0"/>
        <v>6</v>
      </c>
    </row>
    <row r="34" spans="1:9">
      <c r="A34" s="14">
        <v>31</v>
      </c>
      <c r="B34" s="15" t="s">
        <v>47</v>
      </c>
      <c r="C34" s="16" t="s">
        <v>78</v>
      </c>
      <c r="D34" s="16" t="s">
        <v>105</v>
      </c>
      <c r="E34" s="16" t="s">
        <v>11</v>
      </c>
      <c r="F34" s="17">
        <v>28</v>
      </c>
      <c r="G34" s="17">
        <v>25</v>
      </c>
      <c r="H34" s="17">
        <v>30</v>
      </c>
      <c r="I34" s="17">
        <f t="shared" si="0"/>
        <v>83</v>
      </c>
    </row>
    <row r="35" spans="1:9">
      <c r="A35" s="14">
        <v>32</v>
      </c>
      <c r="B35" s="15" t="s">
        <v>48</v>
      </c>
      <c r="C35" s="16" t="s">
        <v>78</v>
      </c>
      <c r="D35" s="16" t="s">
        <v>92</v>
      </c>
      <c r="E35" s="16" t="s">
        <v>11</v>
      </c>
      <c r="F35" s="17">
        <v>11</v>
      </c>
      <c r="G35" s="17">
        <v>10</v>
      </c>
      <c r="H35" s="17">
        <v>10</v>
      </c>
      <c r="I35" s="17">
        <f t="shared" si="0"/>
        <v>31</v>
      </c>
    </row>
    <row r="36" spans="1:9">
      <c r="A36" s="14">
        <v>33</v>
      </c>
      <c r="B36" s="15" t="s">
        <v>49</v>
      </c>
      <c r="C36" s="16" t="s">
        <v>76</v>
      </c>
      <c r="D36" s="16" t="s">
        <v>86</v>
      </c>
      <c r="E36" s="16" t="s">
        <v>11</v>
      </c>
      <c r="F36" s="17">
        <v>16</v>
      </c>
      <c r="G36" s="17">
        <v>19</v>
      </c>
      <c r="H36" s="17">
        <v>22</v>
      </c>
      <c r="I36" s="17">
        <f t="shared" ref="I36:I65" si="1">F36+G36+H36</f>
        <v>57</v>
      </c>
    </row>
    <row r="37" spans="1:9">
      <c r="A37" s="14">
        <v>34</v>
      </c>
      <c r="B37" s="15" t="s">
        <v>50</v>
      </c>
      <c r="C37" s="16" t="s">
        <v>80</v>
      </c>
      <c r="D37" s="16" t="s">
        <v>106</v>
      </c>
      <c r="E37" s="16" t="s">
        <v>11</v>
      </c>
      <c r="F37" s="17">
        <v>25</v>
      </c>
      <c r="G37" s="17">
        <v>30</v>
      </c>
      <c r="H37" s="17">
        <v>37</v>
      </c>
      <c r="I37" s="17">
        <f t="shared" si="1"/>
        <v>92</v>
      </c>
    </row>
    <row r="38" spans="1:9">
      <c r="A38" s="14">
        <v>35</v>
      </c>
      <c r="B38" s="15" t="s">
        <v>51</v>
      </c>
      <c r="C38" s="16" t="s">
        <v>87</v>
      </c>
      <c r="D38" s="16" t="s">
        <v>107</v>
      </c>
      <c r="E38" s="16" t="s">
        <v>9</v>
      </c>
      <c r="F38" s="17">
        <v>11</v>
      </c>
      <c r="G38" s="17">
        <v>12</v>
      </c>
      <c r="H38" s="17">
        <v>15</v>
      </c>
      <c r="I38" s="17">
        <f t="shared" si="1"/>
        <v>38</v>
      </c>
    </row>
    <row r="39" spans="1:9">
      <c r="A39" s="14">
        <v>36</v>
      </c>
      <c r="B39" s="15" t="s">
        <v>52</v>
      </c>
      <c r="C39" s="16" t="s">
        <v>78</v>
      </c>
      <c r="D39" s="16" t="s">
        <v>79</v>
      </c>
      <c r="E39" s="16" t="s">
        <v>11</v>
      </c>
      <c r="F39" s="17">
        <v>48</v>
      </c>
      <c r="G39" s="17">
        <v>56</v>
      </c>
      <c r="H39" s="17">
        <v>71</v>
      </c>
      <c r="I39" s="17">
        <f t="shared" si="1"/>
        <v>175</v>
      </c>
    </row>
    <row r="40" spans="1:9">
      <c r="A40" s="14">
        <v>37</v>
      </c>
      <c r="B40" s="15" t="s">
        <v>53</v>
      </c>
      <c r="C40" s="16" t="s">
        <v>108</v>
      </c>
      <c r="D40" s="16" t="s">
        <v>109</v>
      </c>
      <c r="E40" s="16" t="s">
        <v>15</v>
      </c>
      <c r="F40" s="17">
        <v>4</v>
      </c>
      <c r="G40" s="17">
        <v>4</v>
      </c>
      <c r="H40" s="17">
        <v>4</v>
      </c>
      <c r="I40" s="17">
        <f t="shared" si="1"/>
        <v>12</v>
      </c>
    </row>
    <row r="41" spans="1:9">
      <c r="A41" s="14">
        <v>38</v>
      </c>
      <c r="B41" s="15" t="s">
        <v>54</v>
      </c>
      <c r="C41" s="16" t="s">
        <v>76</v>
      </c>
      <c r="D41" s="16" t="s">
        <v>100</v>
      </c>
      <c r="E41" s="16" t="s">
        <v>13</v>
      </c>
      <c r="F41" s="17">
        <v>19</v>
      </c>
      <c r="G41" s="17">
        <v>22</v>
      </c>
      <c r="H41" s="17">
        <v>20</v>
      </c>
      <c r="I41" s="17">
        <f t="shared" si="1"/>
        <v>61</v>
      </c>
    </row>
    <row r="42" spans="1:9">
      <c r="A42" s="14">
        <v>39</v>
      </c>
      <c r="B42" s="15" t="s">
        <v>55</v>
      </c>
      <c r="C42" s="16" t="s">
        <v>78</v>
      </c>
      <c r="D42" s="16" t="s">
        <v>110</v>
      </c>
      <c r="E42" s="16" t="s">
        <v>13</v>
      </c>
      <c r="F42" s="17">
        <v>29</v>
      </c>
      <c r="G42" s="17">
        <v>23</v>
      </c>
      <c r="H42" s="17">
        <v>29</v>
      </c>
      <c r="I42" s="17">
        <f t="shared" si="1"/>
        <v>81</v>
      </c>
    </row>
    <row r="43" spans="1:9">
      <c r="A43" s="14">
        <v>40</v>
      </c>
      <c r="B43" s="15" t="s">
        <v>56</v>
      </c>
      <c r="C43" s="16" t="s">
        <v>108</v>
      </c>
      <c r="D43" s="16" t="s">
        <v>111</v>
      </c>
      <c r="E43" s="16" t="s">
        <v>9</v>
      </c>
      <c r="F43" s="17">
        <v>19</v>
      </c>
      <c r="G43" s="17">
        <v>16</v>
      </c>
      <c r="H43" s="17">
        <v>20</v>
      </c>
      <c r="I43" s="17">
        <f t="shared" si="1"/>
        <v>55</v>
      </c>
    </row>
    <row r="44" spans="1:9">
      <c r="A44" s="14">
        <v>41</v>
      </c>
      <c r="B44" s="15" t="s">
        <v>57</v>
      </c>
      <c r="C44" s="16" t="s">
        <v>108</v>
      </c>
      <c r="D44" s="16" t="s">
        <v>104</v>
      </c>
      <c r="E44" s="16" t="s">
        <v>13</v>
      </c>
      <c r="F44" s="17">
        <v>20</v>
      </c>
      <c r="G44" s="17">
        <v>24</v>
      </c>
      <c r="H44" s="17">
        <v>28</v>
      </c>
      <c r="I44" s="17">
        <f t="shared" si="1"/>
        <v>72</v>
      </c>
    </row>
    <row r="45" spans="1:9">
      <c r="A45" s="14">
        <v>42</v>
      </c>
      <c r="B45" s="15" t="s">
        <v>58</v>
      </c>
      <c r="C45" s="16" t="s">
        <v>76</v>
      </c>
      <c r="D45" s="16" t="s">
        <v>112</v>
      </c>
      <c r="E45" s="16" t="s">
        <v>13</v>
      </c>
      <c r="F45" s="17">
        <v>9</v>
      </c>
      <c r="G45" s="17">
        <v>10</v>
      </c>
      <c r="H45" s="17">
        <v>12</v>
      </c>
      <c r="I45" s="17">
        <f t="shared" si="1"/>
        <v>31</v>
      </c>
    </row>
    <row r="46" spans="1:9">
      <c r="A46" s="14">
        <v>43</v>
      </c>
      <c r="B46" s="15" t="s">
        <v>59</v>
      </c>
      <c r="C46" s="16" t="s">
        <v>76</v>
      </c>
      <c r="D46" s="16" t="s">
        <v>90</v>
      </c>
      <c r="E46" s="16" t="s">
        <v>15</v>
      </c>
      <c r="F46" s="17">
        <v>6</v>
      </c>
      <c r="G46" s="17">
        <v>7</v>
      </c>
      <c r="H46" s="17">
        <v>7</v>
      </c>
      <c r="I46" s="17">
        <f t="shared" si="1"/>
        <v>20</v>
      </c>
    </row>
    <row r="47" spans="1:9">
      <c r="A47" s="14">
        <v>44</v>
      </c>
      <c r="B47" s="15" t="s">
        <v>60</v>
      </c>
      <c r="C47" s="16" t="s">
        <v>80</v>
      </c>
      <c r="D47" s="16" t="s">
        <v>113</v>
      </c>
      <c r="E47" s="16" t="s">
        <v>9</v>
      </c>
      <c r="F47" s="17">
        <v>12</v>
      </c>
      <c r="G47" s="17">
        <v>13</v>
      </c>
      <c r="H47" s="17">
        <v>16</v>
      </c>
      <c r="I47" s="17">
        <f t="shared" si="1"/>
        <v>41</v>
      </c>
    </row>
    <row r="48" spans="1:9">
      <c r="A48" s="14">
        <v>45</v>
      </c>
      <c r="B48" s="15" t="s">
        <v>61</v>
      </c>
      <c r="C48" s="16" t="s">
        <v>78</v>
      </c>
      <c r="D48" s="16" t="s">
        <v>79</v>
      </c>
      <c r="E48" s="16" t="s">
        <v>11</v>
      </c>
      <c r="F48" s="17">
        <v>13</v>
      </c>
      <c r="G48" s="17">
        <v>12</v>
      </c>
      <c r="H48" s="17">
        <v>10</v>
      </c>
      <c r="I48" s="17">
        <f t="shared" si="1"/>
        <v>35</v>
      </c>
    </row>
    <row r="49" spans="1:9">
      <c r="A49" s="14">
        <v>46</v>
      </c>
      <c r="B49" s="15" t="s">
        <v>62</v>
      </c>
      <c r="C49" s="16" t="s">
        <v>76</v>
      </c>
      <c r="D49" s="16" t="s">
        <v>114</v>
      </c>
      <c r="E49" s="16" t="s">
        <v>11</v>
      </c>
      <c r="F49" s="17">
        <v>46</v>
      </c>
      <c r="G49" s="17">
        <v>54</v>
      </c>
      <c r="H49" s="17">
        <v>42</v>
      </c>
      <c r="I49" s="17">
        <f t="shared" si="1"/>
        <v>142</v>
      </c>
    </row>
    <row r="50" spans="1:9">
      <c r="A50" s="14">
        <v>47</v>
      </c>
      <c r="B50" s="15" t="s">
        <v>63</v>
      </c>
      <c r="C50" s="16" t="s">
        <v>76</v>
      </c>
      <c r="D50" s="16" t="s">
        <v>97</v>
      </c>
      <c r="E50" s="16" t="s">
        <v>11</v>
      </c>
      <c r="F50" s="17">
        <v>32</v>
      </c>
      <c r="G50" s="17">
        <v>30</v>
      </c>
      <c r="H50" s="17">
        <v>34</v>
      </c>
      <c r="I50" s="17">
        <f t="shared" si="1"/>
        <v>96</v>
      </c>
    </row>
    <row r="51" spans="1:9">
      <c r="A51" s="14">
        <v>48</v>
      </c>
      <c r="B51" s="15" t="s">
        <v>64</v>
      </c>
      <c r="C51" s="16" t="s">
        <v>108</v>
      </c>
      <c r="D51" s="16" t="s">
        <v>88</v>
      </c>
      <c r="E51" s="16" t="s">
        <v>11</v>
      </c>
      <c r="F51" s="17">
        <v>55</v>
      </c>
      <c r="G51" s="17">
        <v>59</v>
      </c>
      <c r="H51" s="17">
        <v>75</v>
      </c>
      <c r="I51" s="17">
        <f t="shared" si="1"/>
        <v>189</v>
      </c>
    </row>
    <row r="52" spans="1:9">
      <c r="A52" s="14">
        <v>49</v>
      </c>
      <c r="B52" s="15" t="s">
        <v>65</v>
      </c>
      <c r="C52" s="16" t="s">
        <v>115</v>
      </c>
      <c r="D52" s="16" t="s">
        <v>116</v>
      </c>
      <c r="E52" s="16" t="s">
        <v>13</v>
      </c>
      <c r="F52" s="17">
        <v>17</v>
      </c>
      <c r="G52" s="17">
        <v>16</v>
      </c>
      <c r="H52" s="17">
        <v>15</v>
      </c>
      <c r="I52" s="17">
        <f t="shared" si="1"/>
        <v>48</v>
      </c>
    </row>
    <row r="53" spans="1:9">
      <c r="A53" s="14">
        <v>50</v>
      </c>
      <c r="B53" s="15" t="s">
        <v>66</v>
      </c>
      <c r="C53" s="16" t="s">
        <v>82</v>
      </c>
      <c r="D53" s="16" t="s">
        <v>83</v>
      </c>
      <c r="E53" s="16" t="s">
        <v>11</v>
      </c>
      <c r="F53" s="17">
        <v>24</v>
      </c>
      <c r="G53" s="17">
        <v>20</v>
      </c>
      <c r="H53" s="17">
        <v>17</v>
      </c>
      <c r="I53" s="17">
        <f t="shared" si="1"/>
        <v>61</v>
      </c>
    </row>
    <row r="54" spans="1:9">
      <c r="A54" s="14">
        <v>51</v>
      </c>
      <c r="B54" s="15" t="s">
        <v>67</v>
      </c>
      <c r="C54" s="16" t="s">
        <v>87</v>
      </c>
      <c r="D54" s="16" t="s">
        <v>102</v>
      </c>
      <c r="E54" s="16" t="s">
        <v>13</v>
      </c>
      <c r="F54" s="17">
        <v>28</v>
      </c>
      <c r="G54" s="17">
        <v>23</v>
      </c>
      <c r="H54" s="17">
        <v>18</v>
      </c>
      <c r="I54" s="17">
        <f t="shared" si="1"/>
        <v>69</v>
      </c>
    </row>
    <row r="55" spans="1:9">
      <c r="A55" s="14">
        <v>52</v>
      </c>
      <c r="B55" s="15" t="s">
        <v>68</v>
      </c>
      <c r="C55" s="16" t="s">
        <v>117</v>
      </c>
      <c r="D55" s="16" t="s">
        <v>118</v>
      </c>
      <c r="E55" s="16" t="s">
        <v>13</v>
      </c>
      <c r="F55" s="17">
        <v>18</v>
      </c>
      <c r="G55" s="17">
        <v>20</v>
      </c>
      <c r="H55" s="17">
        <v>18</v>
      </c>
      <c r="I55" s="17">
        <f t="shared" si="1"/>
        <v>56</v>
      </c>
    </row>
    <row r="56" spans="1:9">
      <c r="A56" s="14">
        <v>53</v>
      </c>
      <c r="B56" s="15" t="s">
        <v>69</v>
      </c>
      <c r="C56" s="16" t="s">
        <v>93</v>
      </c>
      <c r="D56" s="16" t="s">
        <v>94</v>
      </c>
      <c r="E56" s="16" t="s">
        <v>11</v>
      </c>
      <c r="F56" s="17">
        <v>38</v>
      </c>
      <c r="G56" s="17">
        <v>44</v>
      </c>
      <c r="H56" s="17">
        <v>39</v>
      </c>
      <c r="I56" s="17">
        <f t="shared" si="1"/>
        <v>121</v>
      </c>
    </row>
    <row r="57" spans="1:9">
      <c r="A57" s="14">
        <v>54</v>
      </c>
      <c r="B57" s="15" t="s">
        <v>70</v>
      </c>
      <c r="C57" s="16" t="s">
        <v>108</v>
      </c>
      <c r="D57" s="16" t="s">
        <v>119</v>
      </c>
      <c r="E57" s="16" t="s">
        <v>15</v>
      </c>
      <c r="F57" s="17">
        <v>2</v>
      </c>
      <c r="G57" s="17">
        <v>2</v>
      </c>
      <c r="H57" s="17">
        <v>2</v>
      </c>
      <c r="I57" s="17">
        <f t="shared" si="1"/>
        <v>6</v>
      </c>
    </row>
    <row r="58" spans="1:9">
      <c r="A58" s="14">
        <v>55</v>
      </c>
      <c r="B58" s="15" t="s">
        <v>71</v>
      </c>
      <c r="C58" s="16" t="s">
        <v>87</v>
      </c>
      <c r="D58" s="16" t="s">
        <v>88</v>
      </c>
      <c r="E58" s="16" t="s">
        <v>11</v>
      </c>
      <c r="F58" s="17">
        <v>51</v>
      </c>
      <c r="G58" s="17">
        <v>41</v>
      </c>
      <c r="H58" s="17">
        <v>45</v>
      </c>
      <c r="I58" s="17">
        <f t="shared" si="1"/>
        <v>137</v>
      </c>
    </row>
    <row r="59" spans="1:9">
      <c r="A59" s="14">
        <v>56</v>
      </c>
      <c r="B59" s="15" t="s">
        <v>72</v>
      </c>
      <c r="C59" s="16" t="s">
        <v>76</v>
      </c>
      <c r="D59" s="16" t="s">
        <v>101</v>
      </c>
      <c r="E59" s="16" t="s">
        <v>7</v>
      </c>
      <c r="F59" s="17">
        <v>8</v>
      </c>
      <c r="G59" s="17">
        <v>8</v>
      </c>
      <c r="H59" s="17">
        <v>10</v>
      </c>
      <c r="I59" s="17">
        <f t="shared" si="1"/>
        <v>26</v>
      </c>
    </row>
    <row r="60" spans="1:9">
      <c r="A60" s="14">
        <v>57</v>
      </c>
      <c r="B60" s="15" t="s">
        <v>73</v>
      </c>
      <c r="C60" s="16" t="s">
        <v>76</v>
      </c>
      <c r="D60" s="16" t="s">
        <v>120</v>
      </c>
      <c r="E60" s="16" t="s">
        <v>11</v>
      </c>
      <c r="F60" s="17">
        <v>49</v>
      </c>
      <c r="G60" s="17">
        <v>53</v>
      </c>
      <c r="H60" s="17">
        <v>59</v>
      </c>
      <c r="I60" s="17">
        <f t="shared" si="1"/>
        <v>161</v>
      </c>
    </row>
    <row r="61" spans="1:9">
      <c r="A61" s="14">
        <v>58</v>
      </c>
      <c r="B61" s="15" t="s">
        <v>74</v>
      </c>
      <c r="C61" s="16" t="s">
        <v>78</v>
      </c>
      <c r="D61" s="16" t="s">
        <v>121</v>
      </c>
      <c r="E61" s="16" t="s">
        <v>9</v>
      </c>
      <c r="F61" s="17">
        <v>14</v>
      </c>
      <c r="G61" s="17">
        <v>12</v>
      </c>
      <c r="H61" s="17">
        <v>13</v>
      </c>
      <c r="I61" s="17">
        <f t="shared" si="1"/>
        <v>39</v>
      </c>
    </row>
    <row r="62" spans="1:9">
      <c r="A62" s="14">
        <v>59</v>
      </c>
      <c r="B62" s="15" t="s">
        <v>75</v>
      </c>
      <c r="C62" s="16" t="s">
        <v>76</v>
      </c>
      <c r="D62" s="16" t="s">
        <v>86</v>
      </c>
      <c r="E62" s="16" t="s">
        <v>9</v>
      </c>
      <c r="F62" s="17">
        <v>15</v>
      </c>
      <c r="G62" s="17">
        <v>16</v>
      </c>
      <c r="H62" s="17">
        <v>14</v>
      </c>
      <c r="I62" s="17">
        <f t="shared" si="1"/>
        <v>45</v>
      </c>
    </row>
    <row r="63" spans="1:9">
      <c r="A63" s="14">
        <v>60</v>
      </c>
      <c r="B63" s="15" t="s">
        <v>123</v>
      </c>
      <c r="C63" s="16" t="s">
        <v>78</v>
      </c>
      <c r="D63" s="16" t="s">
        <v>122</v>
      </c>
      <c r="E63" s="16" t="s">
        <v>9</v>
      </c>
      <c r="F63" s="17">
        <v>26</v>
      </c>
      <c r="G63" s="17">
        <v>28</v>
      </c>
      <c r="H63" s="17">
        <v>32</v>
      </c>
      <c r="I63" s="17">
        <f t="shared" si="1"/>
        <v>86</v>
      </c>
    </row>
    <row r="64" spans="1:9">
      <c r="A64" s="14">
        <v>61</v>
      </c>
      <c r="B64" s="15" t="s">
        <v>124</v>
      </c>
      <c r="C64" s="16" t="s">
        <v>76</v>
      </c>
      <c r="D64" s="16" t="s">
        <v>90</v>
      </c>
      <c r="E64" s="16" t="s">
        <v>9</v>
      </c>
      <c r="F64" s="17">
        <v>13</v>
      </c>
      <c r="G64" s="17">
        <v>11</v>
      </c>
      <c r="H64" s="17">
        <v>10</v>
      </c>
      <c r="I64" s="17">
        <f t="shared" si="1"/>
        <v>34</v>
      </c>
    </row>
    <row r="65" spans="1:9">
      <c r="A65" s="14">
        <v>62</v>
      </c>
      <c r="B65" s="15" t="s">
        <v>127</v>
      </c>
      <c r="C65" s="16" t="s">
        <v>125</v>
      </c>
      <c r="D65" s="16" t="s">
        <v>126</v>
      </c>
      <c r="E65" s="16" t="s">
        <v>11</v>
      </c>
      <c r="F65" s="17">
        <v>13</v>
      </c>
      <c r="G65" s="17">
        <v>14</v>
      </c>
      <c r="H65" s="17">
        <v>17</v>
      </c>
      <c r="I65" s="17">
        <f t="shared" si="1"/>
        <v>44</v>
      </c>
    </row>
  </sheetData>
  <sortState xmlns:xlrd2="http://schemas.microsoft.com/office/spreadsheetml/2017/richdata2" ref="A4:N65">
    <sortCondition ref="A4"/>
  </sortState>
  <mergeCells count="4">
    <mergeCell ref="A1:I1"/>
    <mergeCell ref="A2:I2"/>
    <mergeCell ref="L1:N1"/>
    <mergeCell ref="L2:N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DFB5-8B10-40DE-8C76-6A63B83BE4D9}">
  <dimension ref="A1:H15"/>
  <sheetViews>
    <sheetView workbookViewId="0">
      <selection activeCell="E4" sqref="E4"/>
    </sheetView>
  </sheetViews>
  <sheetFormatPr defaultRowHeight="15"/>
  <cols>
    <col min="1" max="1" width="11" style="3" customWidth="1"/>
    <col min="2" max="2" width="16.5703125" style="3" customWidth="1"/>
    <col min="3" max="3" width="9.140625" style="3"/>
    <col min="4" max="4" width="10.5703125" style="3" bestFit="1" customWidth="1"/>
    <col min="5" max="5" width="12.7109375" style="3" customWidth="1"/>
    <col min="6" max="6" width="15.42578125" style="3" bestFit="1" customWidth="1"/>
    <col min="7" max="7" width="12" style="3" customWidth="1"/>
    <col min="8" max="8" width="14.140625" style="3" customWidth="1"/>
    <col min="9" max="16384" width="9.140625" style="3"/>
  </cols>
  <sheetData>
    <row r="1" spans="1:8" ht="20.25">
      <c r="A1" s="11" t="s">
        <v>152</v>
      </c>
    </row>
    <row r="2" spans="1:8">
      <c r="A2" s="10" t="s">
        <v>151</v>
      </c>
      <c r="F2" s="5"/>
    </row>
    <row r="3" spans="1:8">
      <c r="A3" s="1" t="s">
        <v>150</v>
      </c>
      <c r="B3" s="1" t="s">
        <v>132</v>
      </c>
      <c r="C3" s="7" t="s">
        <v>143</v>
      </c>
      <c r="D3" s="12" t="s">
        <v>153</v>
      </c>
      <c r="E3" s="1" t="s">
        <v>146</v>
      </c>
      <c r="F3" s="7" t="s">
        <v>145</v>
      </c>
      <c r="G3" s="7" t="s">
        <v>144</v>
      </c>
      <c r="H3" s="7" t="s">
        <v>133</v>
      </c>
    </row>
    <row r="4" spans="1:8">
      <c r="A4" s="9">
        <v>4</v>
      </c>
      <c r="B4" s="4" t="s">
        <v>134</v>
      </c>
      <c r="C4" s="6">
        <v>888</v>
      </c>
      <c r="D4" s="4"/>
      <c r="E4" s="4" t="s">
        <v>147</v>
      </c>
      <c r="F4" s="8"/>
      <c r="G4" s="6">
        <v>520</v>
      </c>
      <c r="H4" s="8">
        <v>44489</v>
      </c>
    </row>
    <row r="5" spans="1:8">
      <c r="A5" s="9">
        <v>8</v>
      </c>
      <c r="B5" s="4" t="s">
        <v>135</v>
      </c>
      <c r="C5" s="6">
        <v>665</v>
      </c>
      <c r="D5" s="4"/>
      <c r="E5" s="4" t="s">
        <v>147</v>
      </c>
      <c r="F5" s="8"/>
      <c r="G5" s="6">
        <v>399</v>
      </c>
      <c r="H5" s="8">
        <v>44489</v>
      </c>
    </row>
    <row r="6" spans="1:8">
      <c r="A6" s="9">
        <v>2</v>
      </c>
      <c r="B6" s="4" t="s">
        <v>136</v>
      </c>
      <c r="C6" s="6">
        <v>485</v>
      </c>
      <c r="D6" s="4"/>
      <c r="E6" s="4" t="s">
        <v>147</v>
      </c>
      <c r="F6" s="8"/>
      <c r="G6" s="6">
        <v>295</v>
      </c>
      <c r="H6" s="8">
        <v>44489</v>
      </c>
    </row>
    <row r="7" spans="1:8">
      <c r="A7" s="9">
        <v>1</v>
      </c>
      <c r="B7" s="4" t="s">
        <v>137</v>
      </c>
      <c r="C7" s="6">
        <v>1299</v>
      </c>
      <c r="D7" s="4"/>
      <c r="E7" s="4" t="s">
        <v>148</v>
      </c>
      <c r="F7" s="8"/>
      <c r="G7" s="6">
        <v>825</v>
      </c>
      <c r="H7" s="8">
        <v>44504</v>
      </c>
    </row>
    <row r="8" spans="1:8">
      <c r="A8" s="9">
        <v>3</v>
      </c>
      <c r="B8" s="4" t="s">
        <v>138</v>
      </c>
      <c r="C8" s="6">
        <v>385</v>
      </c>
      <c r="D8" s="4"/>
      <c r="E8" s="4" t="s">
        <v>148</v>
      </c>
      <c r="F8" s="8"/>
      <c r="G8" s="6">
        <v>235</v>
      </c>
      <c r="H8" s="8">
        <v>44504</v>
      </c>
    </row>
    <row r="9" spans="1:8">
      <c r="A9" s="9">
        <v>11</v>
      </c>
      <c r="B9" s="4" t="s">
        <v>139</v>
      </c>
      <c r="C9" s="6">
        <v>945</v>
      </c>
      <c r="D9" s="4"/>
      <c r="E9" s="4" t="s">
        <v>148</v>
      </c>
      <c r="F9" s="8"/>
      <c r="G9" s="6">
        <v>579</v>
      </c>
      <c r="H9" s="8">
        <v>44504</v>
      </c>
    </row>
    <row r="10" spans="1:8">
      <c r="A10" s="9">
        <v>9</v>
      </c>
      <c r="B10" s="4" t="s">
        <v>140</v>
      </c>
      <c r="C10" s="6">
        <v>1080</v>
      </c>
      <c r="D10" s="4"/>
      <c r="E10" s="4" t="s">
        <v>149</v>
      </c>
      <c r="F10" s="8"/>
      <c r="G10" s="6">
        <v>665</v>
      </c>
      <c r="H10" s="8">
        <v>44540</v>
      </c>
    </row>
    <row r="11" spans="1:8">
      <c r="A11" s="9">
        <v>12</v>
      </c>
      <c r="B11" s="4" t="s">
        <v>141</v>
      </c>
      <c r="C11" s="6">
        <v>1280</v>
      </c>
      <c r="D11" s="4"/>
      <c r="E11" s="4" t="s">
        <v>149</v>
      </c>
      <c r="F11" s="8"/>
      <c r="G11" s="6">
        <v>799</v>
      </c>
      <c r="H11" s="8">
        <v>44540</v>
      </c>
    </row>
    <row r="12" spans="1:8">
      <c r="A12" s="9">
        <v>7</v>
      </c>
      <c r="B12" s="4" t="s">
        <v>142</v>
      </c>
      <c r="C12" s="6">
        <v>745</v>
      </c>
      <c r="D12" s="4"/>
      <c r="E12" s="4" t="s">
        <v>149</v>
      </c>
      <c r="F12" s="8"/>
      <c r="G12" s="6">
        <v>447</v>
      </c>
      <c r="H12" s="8">
        <v>44540</v>
      </c>
    </row>
    <row r="13" spans="1:8">
      <c r="A13" s="9">
        <v>10</v>
      </c>
      <c r="B13" s="4" t="s">
        <v>141</v>
      </c>
      <c r="C13" s="6">
        <v>1280</v>
      </c>
      <c r="D13" s="4"/>
      <c r="E13" s="4" t="s">
        <v>149</v>
      </c>
      <c r="F13" s="8"/>
      <c r="G13" s="6">
        <v>799</v>
      </c>
      <c r="H13" s="8">
        <v>44540</v>
      </c>
    </row>
    <row r="14" spans="1:8">
      <c r="A14" s="9">
        <v>5</v>
      </c>
      <c r="B14" s="4" t="s">
        <v>141</v>
      </c>
      <c r="C14" s="6">
        <v>1280</v>
      </c>
      <c r="D14" s="4"/>
      <c r="E14" s="4" t="s">
        <v>149</v>
      </c>
      <c r="F14" s="8"/>
      <c r="G14" s="6">
        <v>799</v>
      </c>
      <c r="H14" s="8">
        <v>44540</v>
      </c>
    </row>
    <row r="15" spans="1:8">
      <c r="A15" s="9">
        <v>6</v>
      </c>
      <c r="B15" s="4" t="s">
        <v>142</v>
      </c>
      <c r="C15" s="6">
        <v>745</v>
      </c>
      <c r="D15" s="4"/>
      <c r="E15" s="4" t="s">
        <v>149</v>
      </c>
      <c r="F15" s="8"/>
      <c r="G15" s="6">
        <v>447</v>
      </c>
      <c r="H15" s="8">
        <v>44540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0508-12C3-4DAF-AEDC-83E6CAB9172D}">
  <dimension ref="A1:B13"/>
  <sheetViews>
    <sheetView workbookViewId="0">
      <selection activeCell="F13" sqref="F13"/>
    </sheetView>
  </sheetViews>
  <sheetFormatPr defaultRowHeight="15"/>
  <cols>
    <col min="1" max="1" width="15.28515625" style="13" bestFit="1" customWidth="1"/>
    <col min="2" max="2" width="10.5703125" style="13" bestFit="1" customWidth="1"/>
    <col min="3" max="16384" width="9.140625" style="13"/>
  </cols>
  <sheetData>
    <row r="1" spans="1:2">
      <c r="A1" s="59" t="s">
        <v>169</v>
      </c>
      <c r="B1" s="60" t="s">
        <v>201</v>
      </c>
    </row>
    <row r="3" spans="1:2">
      <c r="A3" s="59" t="s">
        <v>200</v>
      </c>
      <c r="B3" s="63" t="s">
        <v>204</v>
      </c>
    </row>
    <row r="4" spans="1:2">
      <c r="A4" s="61" t="s">
        <v>76</v>
      </c>
      <c r="B4" s="62">
        <v>21</v>
      </c>
    </row>
    <row r="5" spans="1:2">
      <c r="A5" s="61" t="s">
        <v>78</v>
      </c>
      <c r="B5" s="62">
        <v>14</v>
      </c>
    </row>
    <row r="6" spans="1:2">
      <c r="A6" s="61" t="s">
        <v>117</v>
      </c>
      <c r="B6" s="62">
        <v>1</v>
      </c>
    </row>
    <row r="7" spans="1:2">
      <c r="A7" s="61" t="s">
        <v>87</v>
      </c>
      <c r="B7" s="62">
        <v>8</v>
      </c>
    </row>
    <row r="8" spans="1:2">
      <c r="A8" s="61" t="s">
        <v>82</v>
      </c>
      <c r="B8" s="62">
        <v>3</v>
      </c>
    </row>
    <row r="9" spans="1:2">
      <c r="A9" s="61" t="s">
        <v>115</v>
      </c>
      <c r="B9" s="62">
        <v>1</v>
      </c>
    </row>
    <row r="10" spans="1:2">
      <c r="A10" s="61" t="s">
        <v>93</v>
      </c>
      <c r="B10" s="62">
        <v>2</v>
      </c>
    </row>
    <row r="11" spans="1:2">
      <c r="A11" s="61" t="s">
        <v>108</v>
      </c>
      <c r="B11" s="62">
        <v>5</v>
      </c>
    </row>
    <row r="12" spans="1:2">
      <c r="A12" s="61" t="s">
        <v>80</v>
      </c>
      <c r="B12" s="62">
        <v>7</v>
      </c>
    </row>
    <row r="13" spans="1:2">
      <c r="A13" s="61" t="s">
        <v>0</v>
      </c>
      <c r="B13" s="62">
        <v>62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DAA3-CACF-4F38-B62B-BFDBA964933D}">
  <dimension ref="A1:C38"/>
  <sheetViews>
    <sheetView workbookViewId="0">
      <selection activeCell="A3" sqref="A3:C38"/>
    </sheetView>
  </sheetViews>
  <sheetFormatPr defaultRowHeight="15"/>
  <cols>
    <col min="1" max="1" width="14.7109375" style="13" bestFit="1" customWidth="1"/>
    <col min="2" max="2" width="8.85546875" style="13" bestFit="1" customWidth="1"/>
    <col min="3" max="3" width="31.85546875" style="13" bestFit="1" customWidth="1"/>
    <col min="4" max="16384" width="9.140625" style="13"/>
  </cols>
  <sheetData>
    <row r="1" spans="1:3" ht="18.75">
      <c r="A1" s="20" t="s">
        <v>198</v>
      </c>
    </row>
    <row r="2" spans="1:3" ht="15.75" thickBot="1">
      <c r="A2" s="35" t="s">
        <v>171</v>
      </c>
      <c r="B2" s="36" t="s">
        <v>199</v>
      </c>
      <c r="C2" s="37" t="s">
        <v>172</v>
      </c>
    </row>
    <row r="3" spans="1:3">
      <c r="A3" s="23">
        <v>44197</v>
      </c>
      <c r="B3" s="24" t="s">
        <v>173</v>
      </c>
      <c r="C3" s="25" t="s">
        <v>174</v>
      </c>
    </row>
    <row r="4" spans="1:3">
      <c r="A4" s="26">
        <v>44197</v>
      </c>
      <c r="B4" s="27" t="s">
        <v>173</v>
      </c>
      <c r="C4" s="28" t="s">
        <v>175</v>
      </c>
    </row>
    <row r="5" spans="1:3">
      <c r="A5" s="29">
        <v>44237</v>
      </c>
      <c r="B5" s="30" t="s">
        <v>176</v>
      </c>
      <c r="C5" s="31" t="s">
        <v>177</v>
      </c>
    </row>
    <row r="6" spans="1:3">
      <c r="A6" s="26">
        <v>44238</v>
      </c>
      <c r="B6" s="27" t="s">
        <v>178</v>
      </c>
      <c r="C6" s="28" t="s">
        <v>177</v>
      </c>
    </row>
    <row r="7" spans="1:3">
      <c r="A7" s="29">
        <v>44239</v>
      </c>
      <c r="B7" s="30" t="s">
        <v>173</v>
      </c>
      <c r="C7" s="31" t="s">
        <v>177</v>
      </c>
    </row>
    <row r="8" spans="1:3">
      <c r="A8" s="26">
        <v>44240</v>
      </c>
      <c r="B8" s="27" t="s">
        <v>179</v>
      </c>
      <c r="C8" s="28" t="s">
        <v>177</v>
      </c>
    </row>
    <row r="9" spans="1:3">
      <c r="A9" s="29">
        <v>44241</v>
      </c>
      <c r="B9" s="30" t="s">
        <v>180</v>
      </c>
      <c r="C9" s="31" t="s">
        <v>177</v>
      </c>
    </row>
    <row r="10" spans="1:3">
      <c r="A10" s="26">
        <v>44242</v>
      </c>
      <c r="B10" s="27" t="s">
        <v>181</v>
      </c>
      <c r="C10" s="28" t="s">
        <v>177</v>
      </c>
    </row>
    <row r="11" spans="1:3">
      <c r="A11" s="29">
        <v>44243</v>
      </c>
      <c r="B11" s="30" t="s">
        <v>182</v>
      </c>
      <c r="C11" s="31" t="s">
        <v>177</v>
      </c>
    </row>
    <row r="12" spans="1:3">
      <c r="A12" s="26">
        <v>44255</v>
      </c>
      <c r="B12" s="27" t="s">
        <v>180</v>
      </c>
      <c r="C12" s="28" t="s">
        <v>183</v>
      </c>
    </row>
    <row r="13" spans="1:3">
      <c r="A13" s="29">
        <v>44256</v>
      </c>
      <c r="B13" s="30" t="s">
        <v>181</v>
      </c>
      <c r="C13" s="31" t="s">
        <v>184</v>
      </c>
    </row>
    <row r="14" spans="1:3">
      <c r="A14" s="26">
        <v>44288</v>
      </c>
      <c r="B14" s="27" t="s">
        <v>173</v>
      </c>
      <c r="C14" s="28" t="s">
        <v>185</v>
      </c>
    </row>
    <row r="15" spans="1:3">
      <c r="A15" s="29">
        <v>44290</v>
      </c>
      <c r="B15" s="30" t="s">
        <v>180</v>
      </c>
      <c r="C15" s="31" t="s">
        <v>186</v>
      </c>
    </row>
    <row r="16" spans="1:3">
      <c r="A16" s="26">
        <v>44290</v>
      </c>
      <c r="B16" s="27" t="s">
        <v>180</v>
      </c>
      <c r="C16" s="28" t="s">
        <v>187</v>
      </c>
    </row>
    <row r="17" spans="1:3">
      <c r="A17" s="29">
        <v>44291</v>
      </c>
      <c r="B17" s="30" t="s">
        <v>181</v>
      </c>
      <c r="C17" s="31" t="s">
        <v>188</v>
      </c>
    </row>
    <row r="18" spans="1:3">
      <c r="A18" s="26">
        <v>44317</v>
      </c>
      <c r="B18" s="27" t="s">
        <v>179</v>
      </c>
      <c r="C18" s="28" t="s">
        <v>189</v>
      </c>
    </row>
    <row r="19" spans="1:3">
      <c r="A19" s="29">
        <v>44361</v>
      </c>
      <c r="B19" s="30" t="s">
        <v>181</v>
      </c>
      <c r="C19" s="31" t="s">
        <v>190</v>
      </c>
    </row>
    <row r="20" spans="1:3">
      <c r="A20" s="26">
        <v>44459</v>
      </c>
      <c r="B20" s="27" t="s">
        <v>181</v>
      </c>
      <c r="C20" s="28" t="s">
        <v>191</v>
      </c>
    </row>
    <row r="21" spans="1:3">
      <c r="A21" s="29">
        <v>44460</v>
      </c>
      <c r="B21" s="30" t="s">
        <v>182</v>
      </c>
      <c r="C21" s="31" t="s">
        <v>192</v>
      </c>
    </row>
    <row r="22" spans="1:3">
      <c r="A22" s="26">
        <v>44479</v>
      </c>
      <c r="B22" s="27" t="s">
        <v>180</v>
      </c>
      <c r="C22" s="28" t="s">
        <v>193</v>
      </c>
    </row>
    <row r="23" spans="1:3">
      <c r="A23" s="29">
        <v>44480</v>
      </c>
      <c r="B23" s="30" t="s">
        <v>181</v>
      </c>
      <c r="C23" s="31" t="s">
        <v>194</v>
      </c>
    </row>
    <row r="24" spans="1:3">
      <c r="A24" s="26">
        <v>44561</v>
      </c>
      <c r="B24" s="27" t="s">
        <v>173</v>
      </c>
      <c r="C24" s="28" t="s">
        <v>195</v>
      </c>
    </row>
    <row r="25" spans="1:3">
      <c r="A25" s="29">
        <v>44562</v>
      </c>
      <c r="B25" s="30" t="s">
        <v>179</v>
      </c>
      <c r="C25" s="31" t="s">
        <v>174</v>
      </c>
    </row>
    <row r="26" spans="1:3">
      <c r="A26" s="26">
        <v>44562</v>
      </c>
      <c r="B26" s="27" t="s">
        <v>179</v>
      </c>
      <c r="C26" s="28" t="s">
        <v>175</v>
      </c>
    </row>
    <row r="27" spans="1:3">
      <c r="A27" s="29">
        <v>44592</v>
      </c>
      <c r="B27" s="30" t="s">
        <v>196</v>
      </c>
      <c r="C27" s="31" t="s">
        <v>177</v>
      </c>
    </row>
    <row r="28" spans="1:3">
      <c r="A28" s="26">
        <v>44593</v>
      </c>
      <c r="B28" s="27" t="s">
        <v>182</v>
      </c>
      <c r="C28" s="28" t="s">
        <v>177</v>
      </c>
    </row>
    <row r="29" spans="1:3">
      <c r="A29" s="29">
        <v>44594</v>
      </c>
      <c r="B29" s="30" t="s">
        <v>197</v>
      </c>
      <c r="C29" s="31" t="s">
        <v>177</v>
      </c>
    </row>
    <row r="30" spans="1:3">
      <c r="A30" s="26">
        <v>44595</v>
      </c>
      <c r="B30" s="27" t="s">
        <v>178</v>
      </c>
      <c r="C30" s="28" t="s">
        <v>177</v>
      </c>
    </row>
    <row r="31" spans="1:3">
      <c r="A31" s="29">
        <v>44596</v>
      </c>
      <c r="B31" s="30" t="s">
        <v>173</v>
      </c>
      <c r="C31" s="31" t="s">
        <v>177</v>
      </c>
    </row>
    <row r="32" spans="1:3">
      <c r="A32" s="26">
        <v>44620</v>
      </c>
      <c r="B32" s="27" t="s">
        <v>181</v>
      </c>
      <c r="C32" s="28" t="s">
        <v>183</v>
      </c>
    </row>
    <row r="33" spans="1:3">
      <c r="A33" s="29">
        <v>44656</v>
      </c>
      <c r="B33" s="30" t="s">
        <v>182</v>
      </c>
      <c r="C33" s="31" t="s">
        <v>186</v>
      </c>
    </row>
    <row r="34" spans="1:3">
      <c r="A34" s="26">
        <v>44656</v>
      </c>
      <c r="B34" s="27" t="s">
        <v>182</v>
      </c>
      <c r="C34" s="28" t="s">
        <v>187</v>
      </c>
    </row>
    <row r="35" spans="1:3">
      <c r="A35" s="29">
        <v>44682</v>
      </c>
      <c r="B35" s="30" t="s">
        <v>180</v>
      </c>
      <c r="C35" s="31" t="s">
        <v>189</v>
      </c>
    </row>
    <row r="36" spans="1:3">
      <c r="A36" s="26">
        <v>44715</v>
      </c>
      <c r="B36" s="27" t="s">
        <v>173</v>
      </c>
      <c r="C36" s="28" t="s">
        <v>190</v>
      </c>
    </row>
    <row r="37" spans="1:3">
      <c r="A37" s="29">
        <v>44814</v>
      </c>
      <c r="B37" s="30" t="s">
        <v>179</v>
      </c>
      <c r="C37" s="31" t="s">
        <v>192</v>
      </c>
    </row>
    <row r="38" spans="1:3">
      <c r="A38" s="32">
        <v>44844</v>
      </c>
      <c r="B38" s="33" t="s">
        <v>181</v>
      </c>
      <c r="C38" s="34" t="s">
        <v>193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15</vt:i4>
      </vt:variant>
    </vt:vector>
  </HeadingPairs>
  <TitlesOfParts>
    <vt:vector size="20" baseType="lpstr">
      <vt:lpstr>總使用量占比</vt:lpstr>
      <vt:lpstr>5G客戶本期傳輸量</vt:lpstr>
      <vt:lpstr>新商品預購</vt:lpstr>
      <vt:lpstr>各縣市用戶人數</vt:lpstr>
      <vt:lpstr>假日表</vt:lpstr>
      <vt:lpstr>一月使用量</vt:lpstr>
      <vt:lpstr>二月使用量</vt:lpstr>
      <vt:lpstr>三月使用量</vt:lpstr>
      <vt:lpstr>方案名稱</vt:lpstr>
      <vt:lpstr>使用量總計</vt:lpstr>
      <vt:lpstr>客戶姓名</vt:lpstr>
      <vt:lpstr>海量型限制量</vt:lpstr>
      <vt:lpstr>假日清單</vt:lpstr>
      <vt:lpstr>常用型限制量</vt:lpstr>
      <vt:lpstr>鄉鎮區</vt:lpstr>
      <vt:lpstr>微量型限制量</vt:lpstr>
      <vt:lpstr>經濟型限制量</vt:lpstr>
      <vt:lpstr>編號</vt:lpstr>
      <vt:lpstr>縣市</vt:lpstr>
      <vt:lpstr>豐沛型限制量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2021-04-18T06:26:19Z</dcterms:modified>
</cp:coreProperties>
</file>