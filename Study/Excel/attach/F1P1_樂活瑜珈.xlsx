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模擬題資料檔案\Final\"/>
    </mc:Choice>
  </mc:AlternateContent>
  <xr:revisionPtr revIDLastSave="0" documentId="13_ncr:1_{3F48BCE9-EF3E-42DB-A506-E5122BF39CFF}" xr6:coauthVersionLast="47" xr6:coauthVersionMax="47" xr10:uidLastSave="{00000000-0000-0000-0000-000000000000}"/>
  <bookViews>
    <workbookView xWindow="-120" yWindow="-120" windowWidth="26160" windowHeight="13410" tabRatio="732" xr2:uid="{00000000-000D-0000-FFFF-FFFF00000000}"/>
  </bookViews>
  <sheets>
    <sheet name="北區教室" sheetId="11" r:id="rId1"/>
    <sheet name="南區教室" sheetId="12" r:id="rId2"/>
    <sheet name="講師" sheetId="10" r:id="rId3"/>
    <sheet name="開幕活動" sheetId="13" r:id="rId4"/>
    <sheet name="營收目標" sheetId="20" r:id="rId5"/>
    <sheet name="學員完課統計" sheetId="19" r:id="rId6"/>
    <sheet name="三月份收支" sheetId="18" r:id="rId7"/>
  </sheets>
  <externalReferences>
    <externalReference r:id="rId8"/>
  </externalReferences>
  <definedNames>
    <definedName name="_xlnm._FilterDatabase" localSheetId="0" hidden="1">北區教室!$A$3:$K$131</definedName>
    <definedName name="_xlnm._FilterDatabase" localSheetId="1" hidden="1">南區教室!$A$1:$K$181</definedName>
    <definedName name="_xlcn.WorksheetConnection_參加名冊A1J461" hidden="1">[1]參加名冊!$A$1:$J$46</definedName>
    <definedName name="南區開課名單">南區教室!$A$4:$K$181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範圍" name="範圍" connection="WorksheetConnection_參加名冊!$A$1:$J$46"/>
        </x15:modelTables>
        <x15:extLst>
          <ext xmlns:x16="http://schemas.microsoft.com/office/spreadsheetml/2014/11/main" uri="{9835A34E-60A6-4A7C-AAB8-D5F71C897F49}">
            <x16:modelTimeGroupings>
              <x16:modelTimeGrouping tableName="範圍" columnName="上課時間" columnId="上課時間">
                <x16:calculatedTimeColumn columnName="上課時間 (小時)" columnId="上課時間 (小時)" contentType="hour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2" l="1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4" i="12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資料模型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參加名冊!$A$1:$J$46" type="102" refreshedVersion="6" minRefreshableVersion="5">
    <extLst>
      <ext xmlns:x15="http://schemas.microsoft.com/office/spreadsheetml/2010/11/main" uri="{DE250136-89BD-433C-8126-D09CA5730AF9}">
        <x15:connection id="範圍" autoDelete="1">
          <x15:rangePr sourceName="_xlcn.WorksheetConnection_參加名冊A1J461"/>
        </x15:connection>
      </ext>
    </extLst>
  </connection>
</connections>
</file>

<file path=xl/sharedStrings.xml><?xml version="1.0" encoding="utf-8"?>
<sst xmlns="http://schemas.openxmlformats.org/spreadsheetml/2006/main" count="2064" uniqueCount="524">
  <si>
    <t>課程</t>
    <phoneticPr fontId="4" type="noConversion"/>
  </si>
  <si>
    <t>課程編號</t>
    <phoneticPr fontId="4" type="noConversion"/>
  </si>
  <si>
    <t>教室</t>
    <phoneticPr fontId="4" type="noConversion"/>
  </si>
  <si>
    <t>李文玉</t>
  </si>
  <si>
    <t>李文玉</t>
    <phoneticPr fontId="4" type="noConversion"/>
  </si>
  <si>
    <t>周婷婷</t>
  </si>
  <si>
    <t>周婷婷</t>
    <phoneticPr fontId="4" type="noConversion"/>
  </si>
  <si>
    <t>江麗美</t>
  </si>
  <si>
    <t>江麗美</t>
    <phoneticPr fontId="4" type="noConversion"/>
  </si>
  <si>
    <t>沈淑玲</t>
  </si>
  <si>
    <t>沈淑玲</t>
    <phoneticPr fontId="4" type="noConversion"/>
  </si>
  <si>
    <t>邱憶涵</t>
  </si>
  <si>
    <t>邱憶涵</t>
    <phoneticPr fontId="4" type="noConversion"/>
  </si>
  <si>
    <t>陳莉瑩</t>
  </si>
  <si>
    <t>陳莉瑩</t>
    <phoneticPr fontId="4" type="noConversion"/>
  </si>
  <si>
    <t>陳婉芬</t>
  </si>
  <si>
    <t>陳婉芬</t>
    <phoneticPr fontId="4" type="noConversion"/>
  </si>
  <si>
    <t>總計</t>
  </si>
  <si>
    <t>兒童瑜珈</t>
    <phoneticPr fontId="4" type="noConversion"/>
  </si>
  <si>
    <t>伸展瑜珈</t>
    <phoneticPr fontId="4" type="noConversion"/>
  </si>
  <si>
    <t>基礎瑜珈</t>
    <phoneticPr fontId="4" type="noConversion"/>
  </si>
  <si>
    <t>哈達瑜珈</t>
    <phoneticPr fontId="4" type="noConversion"/>
  </si>
  <si>
    <t>強力瑜珈</t>
    <phoneticPr fontId="4" type="noConversion"/>
  </si>
  <si>
    <t>熱瑜珈</t>
    <phoneticPr fontId="4" type="noConversion"/>
  </si>
  <si>
    <t>流瑜珈</t>
    <phoneticPr fontId="4" type="noConversion"/>
  </si>
  <si>
    <t>香薰瑜珈</t>
    <phoneticPr fontId="4" type="noConversion"/>
  </si>
  <si>
    <t>R303</t>
  </si>
  <si>
    <t>R203</t>
  </si>
  <si>
    <t>R302</t>
  </si>
  <si>
    <t>伸展瑜珈</t>
  </si>
  <si>
    <t>兒童瑜珈</t>
  </si>
  <si>
    <t>哈達瑜珈</t>
  </si>
  <si>
    <t>流瑜珈</t>
  </si>
  <si>
    <t>香薰瑜珈</t>
  </si>
  <si>
    <t>基礎瑜珈</t>
  </si>
  <si>
    <t>強力瑜珈</t>
  </si>
  <si>
    <t>熱瑜珈</t>
  </si>
  <si>
    <t>李岳原</t>
  </si>
  <si>
    <t>陳品綸</t>
  </si>
  <si>
    <t>黃泓學</t>
  </si>
  <si>
    <t>胡翠文</t>
  </si>
  <si>
    <t>林德霖</t>
  </si>
  <si>
    <t>蕭振軒</t>
  </si>
  <si>
    <t>吳泰廷</t>
  </si>
  <si>
    <t>徐紹瑋</t>
  </si>
  <si>
    <t>洪紹倫</t>
  </si>
  <si>
    <t>吳婉鈴</t>
  </si>
  <si>
    <t>陳念祖</t>
  </si>
  <si>
    <t>高琮傑</t>
  </si>
  <si>
    <t>江依萍</t>
  </si>
  <si>
    <t>許雯晴</t>
  </si>
  <si>
    <t>蕭柏文</t>
  </si>
  <si>
    <t>趙珮淳</t>
  </si>
  <si>
    <t>曾詩芬</t>
  </si>
  <si>
    <t>周詣倫</t>
  </si>
  <si>
    <t>林鈺益</t>
  </si>
  <si>
    <t>李彥成</t>
  </si>
  <si>
    <t>李浩正</t>
  </si>
  <si>
    <t>陳元培</t>
  </si>
  <si>
    <t>林怡婷</t>
  </si>
  <si>
    <t>許原榕</t>
  </si>
  <si>
    <t>張簡淑青</t>
  </si>
  <si>
    <t>林鈺軒</t>
  </si>
  <si>
    <t>黃聖翰</t>
  </si>
  <si>
    <t>余孟倫</t>
  </si>
  <si>
    <t>丁雅智</t>
  </si>
  <si>
    <t>胡顥瀚</t>
  </si>
  <si>
    <t>黃振彰</t>
  </si>
  <si>
    <t>孔柏雄</t>
  </si>
  <si>
    <t>何孟琦</t>
  </si>
  <si>
    <t>童大瑋</t>
  </si>
  <si>
    <t>余信毅</t>
  </si>
  <si>
    <t>詹昱頡</t>
  </si>
  <si>
    <t>陳儀蓁</t>
  </si>
  <si>
    <t>杜楚欣</t>
  </si>
  <si>
    <t>許震宇</t>
  </si>
  <si>
    <t>方昱文</t>
  </si>
  <si>
    <t>謝舜嵐</t>
  </si>
  <si>
    <t>郭哲甫</t>
  </si>
  <si>
    <t>邱柏霖</t>
  </si>
  <si>
    <t>劉梅君</t>
  </si>
  <si>
    <t>程浩</t>
  </si>
  <si>
    <t>巫佩玲</t>
  </si>
  <si>
    <t>高枚妤</t>
  </si>
  <si>
    <t>蔡孟儒</t>
  </si>
  <si>
    <t>潘俊銘</t>
  </si>
  <si>
    <t>王界雄</t>
  </si>
  <si>
    <t>陳俊達</t>
  </si>
  <si>
    <t>吳宗澤</t>
  </si>
  <si>
    <t>曾明洋</t>
  </si>
  <si>
    <t>劉姿岑</t>
  </si>
  <si>
    <t>吳宇軒</t>
  </si>
  <si>
    <t>陳毓婷</t>
  </si>
  <si>
    <t>羅敬宜</t>
  </si>
  <si>
    <t>李沿澈</t>
  </si>
  <si>
    <t>黃姿菡</t>
  </si>
  <si>
    <t>盧其成</t>
  </si>
  <si>
    <t>林忻婷</t>
  </si>
  <si>
    <t>林玉芬</t>
  </si>
  <si>
    <t>溫雅雯</t>
  </si>
  <si>
    <t>莊庭軒</t>
  </si>
  <si>
    <t>盧奕珊</t>
  </si>
  <si>
    <t>洪韻如</t>
  </si>
  <si>
    <t>鄧伊涵</t>
  </si>
  <si>
    <t>王孝文</t>
  </si>
  <si>
    <t>曹偉玲</t>
  </si>
  <si>
    <t>胡峪祁</t>
  </si>
  <si>
    <t>謝明忠</t>
  </si>
  <si>
    <t>李佳蒨</t>
  </si>
  <si>
    <t>葉盈慧</t>
  </si>
  <si>
    <t>許鉅煇</t>
  </si>
  <si>
    <t>蔣筱凡</t>
  </si>
  <si>
    <t>胡惠婷</t>
  </si>
  <si>
    <t>蘇聖雯</t>
  </si>
  <si>
    <t>溫靖雯</t>
  </si>
  <si>
    <t>黃雅萍</t>
  </si>
  <si>
    <t>廖思慧</t>
  </si>
  <si>
    <t>曾瑋婷</t>
  </si>
  <si>
    <t>徐偉齊</t>
  </si>
  <si>
    <t>鍾志昂</t>
  </si>
  <si>
    <t>顏宇寬</t>
  </si>
  <si>
    <t>吳琳祺</t>
  </si>
  <si>
    <t>翁文哲</t>
  </si>
  <si>
    <t>沈承德</t>
  </si>
  <si>
    <t>尤玉琳</t>
  </si>
  <si>
    <t>胡俊毓</t>
  </si>
  <si>
    <t>陳怡惠</t>
  </si>
  <si>
    <t>任心如</t>
  </si>
  <si>
    <t>李存恩</t>
  </si>
  <si>
    <t>江旻璇</t>
  </si>
  <si>
    <t>張莉婷</t>
  </si>
  <si>
    <t>羅揚</t>
  </si>
  <si>
    <t>方文孚</t>
  </si>
  <si>
    <t>林妍瑜</t>
  </si>
  <si>
    <t>符立澤</t>
  </si>
  <si>
    <t>蔡岳軒</t>
  </si>
  <si>
    <t>張博勛</t>
  </si>
  <si>
    <t>賴思辰</t>
  </si>
  <si>
    <t>范乃文</t>
  </si>
  <si>
    <t>郭芷芸</t>
  </si>
  <si>
    <t>余采蓉</t>
  </si>
  <si>
    <t>彭虹迪</t>
  </si>
  <si>
    <t>陳建廷</t>
  </si>
  <si>
    <t>陳家蓁</t>
  </si>
  <si>
    <t>張佑慈</t>
  </si>
  <si>
    <t>吳佩芳</t>
  </si>
  <si>
    <t>楊理鈞</t>
  </si>
  <si>
    <t>許素雯</t>
  </si>
  <si>
    <t>曾薇庭</t>
  </si>
  <si>
    <t>楊玉璞</t>
  </si>
  <si>
    <t>林瑋豐</t>
  </si>
  <si>
    <t>陳逸</t>
  </si>
  <si>
    <t>葉婕安</t>
  </si>
  <si>
    <t>柯霓蒨</t>
  </si>
  <si>
    <t>吳政炘</t>
  </si>
  <si>
    <t>陳自強</t>
  </si>
  <si>
    <t>凃柏丞</t>
  </si>
  <si>
    <t>黃舒堅</t>
  </si>
  <si>
    <t>蘇介福</t>
  </si>
  <si>
    <t>賴冠妤</t>
  </si>
  <si>
    <t>簡大展</t>
  </si>
  <si>
    <t>王雅柏</t>
  </si>
  <si>
    <t>戴航儀</t>
  </si>
  <si>
    <t>張詠婷</t>
  </si>
  <si>
    <t>林欣亭</t>
  </si>
  <si>
    <t>江宇涵</t>
  </si>
  <si>
    <t>林頴婕</t>
  </si>
  <si>
    <t>鄭雅心</t>
  </si>
  <si>
    <t>林貞伶</t>
  </si>
  <si>
    <t>陳怡潔</t>
  </si>
  <si>
    <t>顏珮珺</t>
  </si>
  <si>
    <t>曾詩婷</t>
  </si>
  <si>
    <t>朱姿怡</t>
  </si>
  <si>
    <t>謝宜恬</t>
  </si>
  <si>
    <t>蔡宜潔</t>
  </si>
  <si>
    <t>陳鈺弦</t>
  </si>
  <si>
    <t>王鈺舒</t>
  </si>
  <si>
    <t>何怡萱</t>
  </si>
  <si>
    <t>曾馨漢</t>
    <phoneticPr fontId="4" type="noConversion"/>
  </si>
  <si>
    <t>莊志賢</t>
    <phoneticPr fontId="4" type="noConversion"/>
  </si>
  <si>
    <t>郭素攸</t>
    <phoneticPr fontId="4" type="noConversion"/>
  </si>
  <si>
    <t>簡伶卉</t>
    <phoneticPr fontId="4" type="noConversion"/>
  </si>
  <si>
    <t>張詠婷</t>
    <phoneticPr fontId="4" type="noConversion"/>
  </si>
  <si>
    <t>張欣瑜</t>
    <phoneticPr fontId="4" type="noConversion"/>
  </si>
  <si>
    <t>林欣亭</t>
    <phoneticPr fontId="4" type="noConversion"/>
  </si>
  <si>
    <t>江宇涵</t>
    <phoneticPr fontId="4" type="noConversion"/>
  </si>
  <si>
    <t>李威樟</t>
    <phoneticPr fontId="4" type="noConversion"/>
  </si>
  <si>
    <t>林頴婕</t>
    <phoneticPr fontId="4" type="noConversion"/>
  </si>
  <si>
    <t>鄭雅心</t>
    <phoneticPr fontId="4" type="noConversion"/>
  </si>
  <si>
    <t>林貞伶</t>
    <phoneticPr fontId="4" type="noConversion"/>
  </si>
  <si>
    <t>陳怡潔</t>
    <phoneticPr fontId="4" type="noConversion"/>
  </si>
  <si>
    <t>顏珮珺</t>
    <phoneticPr fontId="4" type="noConversion"/>
  </si>
  <si>
    <t>方思婷</t>
    <phoneticPr fontId="4" type="noConversion"/>
  </si>
  <si>
    <t>曾詩婷</t>
    <phoneticPr fontId="4" type="noConversion"/>
  </si>
  <si>
    <t>朱姿怡</t>
    <phoneticPr fontId="4" type="noConversion"/>
  </si>
  <si>
    <t>吳莉葳</t>
    <phoneticPr fontId="4" type="noConversion"/>
  </si>
  <si>
    <t>謝宜恬</t>
    <phoneticPr fontId="4" type="noConversion"/>
  </si>
  <si>
    <t>黃韋勝</t>
    <phoneticPr fontId="4" type="noConversion"/>
  </si>
  <si>
    <t>蔡宜潔</t>
    <phoneticPr fontId="4" type="noConversion"/>
  </si>
  <si>
    <t>陳霈茹</t>
    <phoneticPr fontId="4" type="noConversion"/>
  </si>
  <si>
    <t>陳鈺弦</t>
    <phoneticPr fontId="4" type="noConversion"/>
  </si>
  <si>
    <t>王鈺舒</t>
    <phoneticPr fontId="4" type="noConversion"/>
  </si>
  <si>
    <t>楊子漢</t>
    <phoneticPr fontId="4" type="noConversion"/>
  </si>
  <si>
    <t>何怡萱</t>
    <phoneticPr fontId="4" type="noConversion"/>
  </si>
  <si>
    <t>廖致綱</t>
    <phoneticPr fontId="4" type="noConversion"/>
  </si>
  <si>
    <t>何家瑋</t>
    <phoneticPr fontId="4" type="noConversion"/>
  </si>
  <si>
    <t>林孝任</t>
    <phoneticPr fontId="4" type="noConversion"/>
  </si>
  <si>
    <t>吳俊毅</t>
    <phoneticPr fontId="4" type="noConversion"/>
  </si>
  <si>
    <t>劉璟樺</t>
    <phoneticPr fontId="4" type="noConversion"/>
  </si>
  <si>
    <t>李怡萱</t>
    <phoneticPr fontId="4" type="noConversion"/>
  </si>
  <si>
    <t>林婉蓉</t>
    <phoneticPr fontId="4" type="noConversion"/>
  </si>
  <si>
    <t>梁維芳</t>
    <phoneticPr fontId="4" type="noConversion"/>
  </si>
  <si>
    <t>鄭嘉芬</t>
    <phoneticPr fontId="4" type="noConversion"/>
  </si>
  <si>
    <t>廖冠宇</t>
    <phoneticPr fontId="4" type="noConversion"/>
  </si>
  <si>
    <t>饒國廷</t>
    <phoneticPr fontId="4" type="noConversion"/>
  </si>
  <si>
    <t>王證瑋</t>
    <phoneticPr fontId="4" type="noConversion"/>
  </si>
  <si>
    <t>張婷婷</t>
    <phoneticPr fontId="4" type="noConversion"/>
  </si>
  <si>
    <t>翁禎宏</t>
    <phoneticPr fontId="4" type="noConversion"/>
  </si>
  <si>
    <t>林海婷</t>
    <phoneticPr fontId="4" type="noConversion"/>
  </si>
  <si>
    <t>王詩婷</t>
    <phoneticPr fontId="4" type="noConversion"/>
  </si>
  <si>
    <t>施卉渝</t>
    <phoneticPr fontId="4" type="noConversion"/>
  </si>
  <si>
    <t>李蕙蘭</t>
    <phoneticPr fontId="4" type="noConversion"/>
  </si>
  <si>
    <t>吳蕙妤</t>
    <phoneticPr fontId="4" type="noConversion"/>
  </si>
  <si>
    <t>尤蕾雅</t>
    <phoneticPr fontId="4" type="noConversion"/>
  </si>
  <si>
    <t>吳瑋強</t>
    <phoneticPr fontId="4" type="noConversion"/>
  </si>
  <si>
    <t>張伯奇</t>
    <phoneticPr fontId="4" type="noConversion"/>
  </si>
  <si>
    <t>陳政毅</t>
    <phoneticPr fontId="4" type="noConversion"/>
  </si>
  <si>
    <t>李承洲</t>
    <phoneticPr fontId="4" type="noConversion"/>
  </si>
  <si>
    <t>鍾采杏</t>
    <phoneticPr fontId="4" type="noConversion"/>
  </si>
  <si>
    <t>張峻維</t>
    <phoneticPr fontId="4" type="noConversion"/>
  </si>
  <si>
    <t>黃姿蓉</t>
    <phoneticPr fontId="4" type="noConversion"/>
  </si>
  <si>
    <t>謝宜晉</t>
    <phoneticPr fontId="4" type="noConversion"/>
  </si>
  <si>
    <t>郭姵伶</t>
    <phoneticPr fontId="4" type="noConversion"/>
  </si>
  <si>
    <t>陳潔瑩</t>
    <phoneticPr fontId="4" type="noConversion"/>
  </si>
  <si>
    <t>楊柏威</t>
    <phoneticPr fontId="4" type="noConversion"/>
  </si>
  <si>
    <t>黃婉綾</t>
    <phoneticPr fontId="4" type="noConversion"/>
  </si>
  <si>
    <t>李冠廷</t>
    <phoneticPr fontId="4" type="noConversion"/>
  </si>
  <si>
    <t>花逸茗</t>
    <phoneticPr fontId="4" type="noConversion"/>
  </si>
  <si>
    <t>陳浩銘</t>
    <phoneticPr fontId="4" type="noConversion"/>
  </si>
  <si>
    <t>王藝穎</t>
    <phoneticPr fontId="4" type="noConversion"/>
  </si>
  <si>
    <t>廖芳儀</t>
    <phoneticPr fontId="4" type="noConversion"/>
  </si>
  <si>
    <t>陳易青</t>
    <phoneticPr fontId="4" type="noConversion"/>
  </si>
  <si>
    <t>葉上暐</t>
    <phoneticPr fontId="4" type="noConversion"/>
  </si>
  <si>
    <t>金語菁</t>
    <phoneticPr fontId="4" type="noConversion"/>
  </si>
  <si>
    <t>林芳如</t>
    <phoneticPr fontId="4" type="noConversion"/>
  </si>
  <si>
    <t>楊惠卿</t>
    <phoneticPr fontId="4" type="noConversion"/>
  </si>
  <si>
    <t>許惠鈞</t>
    <phoneticPr fontId="4" type="noConversion"/>
  </si>
  <si>
    <t>吳冠儀</t>
    <phoneticPr fontId="4" type="noConversion"/>
  </si>
  <si>
    <t>洪家揚</t>
    <phoneticPr fontId="4" type="noConversion"/>
  </si>
  <si>
    <t>林佳慧</t>
    <phoneticPr fontId="4" type="noConversion"/>
  </si>
  <si>
    <t>潘力誠</t>
    <phoneticPr fontId="4" type="noConversion"/>
  </si>
  <si>
    <t>顏丕承</t>
    <phoneticPr fontId="4" type="noConversion"/>
  </si>
  <si>
    <t>蕭家翔</t>
    <phoneticPr fontId="4" type="noConversion"/>
  </si>
  <si>
    <t>陳煜勳</t>
    <phoneticPr fontId="4" type="noConversion"/>
  </si>
  <si>
    <t>羅珮綺</t>
    <phoneticPr fontId="4" type="noConversion"/>
  </si>
  <si>
    <t>許維珊</t>
    <phoneticPr fontId="4" type="noConversion"/>
  </si>
  <si>
    <t>郭振宇</t>
    <phoneticPr fontId="4" type="noConversion"/>
  </si>
  <si>
    <t>陳威婷</t>
    <phoneticPr fontId="4" type="noConversion"/>
  </si>
  <si>
    <t>李仲軒</t>
    <phoneticPr fontId="4" type="noConversion"/>
  </si>
  <si>
    <t>陳彥臻</t>
    <phoneticPr fontId="4" type="noConversion"/>
  </si>
  <si>
    <t>楊棖耀</t>
    <phoneticPr fontId="4" type="noConversion"/>
  </si>
  <si>
    <t>巫銘皓</t>
    <phoneticPr fontId="4" type="noConversion"/>
  </si>
  <si>
    <t>蔣承哲</t>
    <phoneticPr fontId="4" type="noConversion"/>
  </si>
  <si>
    <t>施孟伶</t>
    <phoneticPr fontId="4" type="noConversion"/>
  </si>
  <si>
    <t>呂韻綺</t>
    <phoneticPr fontId="4" type="noConversion"/>
  </si>
  <si>
    <t>黃若雯</t>
    <phoneticPr fontId="4" type="noConversion"/>
  </si>
  <si>
    <t>余俊杰</t>
    <phoneticPr fontId="4" type="noConversion"/>
  </si>
  <si>
    <t>林怡如</t>
    <phoneticPr fontId="4" type="noConversion"/>
  </si>
  <si>
    <t>曹俊傑</t>
    <phoneticPr fontId="4" type="noConversion"/>
  </si>
  <si>
    <t>廖傑明</t>
    <phoneticPr fontId="4" type="noConversion"/>
  </si>
  <si>
    <t>謝欣祐</t>
    <phoneticPr fontId="4" type="noConversion"/>
  </si>
  <si>
    <t>吳品萱</t>
    <phoneticPr fontId="4" type="noConversion"/>
  </si>
  <si>
    <t>王李馨</t>
    <phoneticPr fontId="4" type="noConversion"/>
  </si>
  <si>
    <t>吳婉婷</t>
    <phoneticPr fontId="4" type="noConversion"/>
  </si>
  <si>
    <t>李羽涵</t>
    <phoneticPr fontId="4" type="noConversion"/>
  </si>
  <si>
    <t>鄭吉伶</t>
    <phoneticPr fontId="4" type="noConversion"/>
  </si>
  <si>
    <t>許琇婷</t>
    <phoneticPr fontId="4" type="noConversion"/>
  </si>
  <si>
    <t>林育璇</t>
    <phoneticPr fontId="4" type="noConversion"/>
  </si>
  <si>
    <t>何松軒</t>
    <phoneticPr fontId="4" type="noConversion"/>
  </si>
  <si>
    <t>朱哲成</t>
    <phoneticPr fontId="4" type="noConversion"/>
  </si>
  <si>
    <t>楊勝驛</t>
    <phoneticPr fontId="4" type="noConversion"/>
  </si>
  <si>
    <t>蔡家瑜</t>
    <phoneticPr fontId="4" type="noConversion"/>
  </si>
  <si>
    <t>楊馥宣</t>
    <phoneticPr fontId="4" type="noConversion"/>
  </si>
  <si>
    <t>楊雯羽</t>
    <phoneticPr fontId="4" type="noConversion"/>
  </si>
  <si>
    <t>康瀞予</t>
    <phoneticPr fontId="4" type="noConversion"/>
  </si>
  <si>
    <t>王庭芬</t>
    <phoneticPr fontId="4" type="noConversion"/>
  </si>
  <si>
    <t>林秉昌</t>
    <phoneticPr fontId="4" type="noConversion"/>
  </si>
  <si>
    <t>陳瓊華</t>
    <phoneticPr fontId="4" type="noConversion"/>
  </si>
  <si>
    <t>姜佩妏</t>
    <phoneticPr fontId="4" type="noConversion"/>
  </si>
  <si>
    <t>繆孝謙</t>
    <phoneticPr fontId="4" type="noConversion"/>
  </si>
  <si>
    <t>顏昱娟</t>
    <phoneticPr fontId="4" type="noConversion"/>
  </si>
  <si>
    <t>林長皜</t>
    <phoneticPr fontId="4" type="noConversion"/>
  </si>
  <si>
    <t>余承洲</t>
    <phoneticPr fontId="4" type="noConversion"/>
  </si>
  <si>
    <t>蕭雯心</t>
    <phoneticPr fontId="4" type="noConversion"/>
  </si>
  <si>
    <t>吳青育</t>
    <phoneticPr fontId="4" type="noConversion"/>
  </si>
  <si>
    <t>郭怡君</t>
    <phoneticPr fontId="4" type="noConversion"/>
  </si>
  <si>
    <t>洪婉婷</t>
    <phoneticPr fontId="4" type="noConversion"/>
  </si>
  <si>
    <t>張素卿</t>
    <phoneticPr fontId="4" type="noConversion"/>
  </si>
  <si>
    <t>郭郁如</t>
    <phoneticPr fontId="4" type="noConversion"/>
  </si>
  <si>
    <t>林盈正</t>
    <phoneticPr fontId="4" type="noConversion"/>
  </si>
  <si>
    <t>張凱翔</t>
    <phoneticPr fontId="4" type="noConversion"/>
  </si>
  <si>
    <t>李怡慧</t>
    <phoneticPr fontId="4" type="noConversion"/>
  </si>
  <si>
    <t>黃俞甄</t>
    <phoneticPr fontId="4" type="noConversion"/>
  </si>
  <si>
    <t>張嘉琳</t>
    <phoneticPr fontId="4" type="noConversion"/>
  </si>
  <si>
    <t>蕭茹鈴</t>
    <phoneticPr fontId="4" type="noConversion"/>
  </si>
  <si>
    <t>廖皓安</t>
    <phoneticPr fontId="4" type="noConversion"/>
  </si>
  <si>
    <t>黃佩琪</t>
    <phoneticPr fontId="4" type="noConversion"/>
  </si>
  <si>
    <t>林佳葦</t>
    <phoneticPr fontId="4" type="noConversion"/>
  </si>
  <si>
    <t>黃詩涵</t>
    <phoneticPr fontId="4" type="noConversion"/>
  </si>
  <si>
    <t>葉嘉鳳</t>
    <phoneticPr fontId="4" type="noConversion"/>
  </si>
  <si>
    <t>李崇業</t>
    <phoneticPr fontId="4" type="noConversion"/>
  </si>
  <si>
    <t>吳政穎</t>
    <phoneticPr fontId="4" type="noConversion"/>
  </si>
  <si>
    <t>呂瑾玫</t>
    <phoneticPr fontId="4" type="noConversion"/>
  </si>
  <si>
    <t>楊惠萍</t>
    <phoneticPr fontId="4" type="noConversion"/>
  </si>
  <si>
    <t>張雅婷</t>
    <phoneticPr fontId="4" type="noConversion"/>
  </si>
  <si>
    <t>何琬婷</t>
    <phoneticPr fontId="4" type="noConversion"/>
  </si>
  <si>
    <t>李明翰</t>
    <phoneticPr fontId="4" type="noConversion"/>
  </si>
  <si>
    <t>林亭君</t>
    <phoneticPr fontId="4" type="noConversion"/>
  </si>
  <si>
    <t>朱馨潔</t>
    <phoneticPr fontId="4" type="noConversion"/>
  </si>
  <si>
    <t>江郁雯</t>
    <phoneticPr fontId="4" type="noConversion"/>
  </si>
  <si>
    <t>陳曉瑩</t>
    <phoneticPr fontId="4" type="noConversion"/>
  </si>
  <si>
    <t>黃珮詒</t>
    <phoneticPr fontId="4" type="noConversion"/>
  </si>
  <si>
    <t>何佳靜</t>
    <phoneticPr fontId="4" type="noConversion"/>
  </si>
  <si>
    <t>蘇芮敏</t>
    <phoneticPr fontId="4" type="noConversion"/>
  </si>
  <si>
    <t>徐瑜彣</t>
    <phoneticPr fontId="4" type="noConversion"/>
  </si>
  <si>
    <t>蔡耀庭</t>
    <phoneticPr fontId="4" type="noConversion"/>
  </si>
  <si>
    <t>劉智仁</t>
    <phoneticPr fontId="4" type="noConversion"/>
  </si>
  <si>
    <t>洪瑞敏</t>
    <phoneticPr fontId="4" type="noConversion"/>
  </si>
  <si>
    <t>黃奕崴</t>
    <phoneticPr fontId="4" type="noConversion"/>
  </si>
  <si>
    <t>許璧伃</t>
    <phoneticPr fontId="4" type="noConversion"/>
  </si>
  <si>
    <t>顏鈺璇</t>
    <phoneticPr fontId="4" type="noConversion"/>
  </si>
  <si>
    <t>陳志章</t>
    <phoneticPr fontId="4" type="noConversion"/>
  </si>
  <si>
    <t>黃雅筠</t>
    <phoneticPr fontId="4" type="noConversion"/>
  </si>
  <si>
    <t>楊娟明</t>
    <phoneticPr fontId="4" type="noConversion"/>
  </si>
  <si>
    <t>徐婕凌</t>
    <phoneticPr fontId="4" type="noConversion"/>
  </si>
  <si>
    <t>洪葦蓉</t>
    <phoneticPr fontId="4" type="noConversion"/>
  </si>
  <si>
    <t>林品均</t>
    <phoneticPr fontId="4" type="noConversion"/>
  </si>
  <si>
    <t>林柏翔</t>
    <phoneticPr fontId="4" type="noConversion"/>
  </si>
  <si>
    <t>李建德</t>
    <phoneticPr fontId="4" type="noConversion"/>
  </si>
  <si>
    <t>李奇燐</t>
    <phoneticPr fontId="4" type="noConversion"/>
  </si>
  <si>
    <t>王廉絜</t>
    <phoneticPr fontId="4" type="noConversion"/>
  </si>
  <si>
    <t>涂淑芬</t>
    <phoneticPr fontId="4" type="noConversion"/>
  </si>
  <si>
    <t>紀鈞真</t>
    <phoneticPr fontId="4" type="noConversion"/>
  </si>
  <si>
    <t>黃兪婷</t>
    <phoneticPr fontId="4" type="noConversion"/>
  </si>
  <si>
    <t>林紋璉</t>
    <phoneticPr fontId="4" type="noConversion"/>
  </si>
  <si>
    <t>郭婷維</t>
    <phoneticPr fontId="4" type="noConversion"/>
  </si>
  <si>
    <t>翁騰崧</t>
    <phoneticPr fontId="4" type="noConversion"/>
  </si>
  <si>
    <t>陳喬依</t>
    <phoneticPr fontId="4" type="noConversion"/>
  </si>
  <si>
    <t>謝侃言</t>
    <phoneticPr fontId="4" type="noConversion"/>
  </si>
  <si>
    <t>陳謄州</t>
    <phoneticPr fontId="4" type="noConversion"/>
  </si>
  <si>
    <t>蔡易訓</t>
    <phoneticPr fontId="4" type="noConversion"/>
  </si>
  <si>
    <t>陳聖鑫</t>
    <phoneticPr fontId="4" type="noConversion"/>
  </si>
  <si>
    <t>張耀聰</t>
    <phoneticPr fontId="4" type="noConversion"/>
  </si>
  <si>
    <t>趙曉钟</t>
    <phoneticPr fontId="4" type="noConversion"/>
  </si>
  <si>
    <t>黃泓叡</t>
    <phoneticPr fontId="4" type="noConversion"/>
  </si>
  <si>
    <t>蕭宇成</t>
    <phoneticPr fontId="4" type="noConversion"/>
  </si>
  <si>
    <t>傅奕慈</t>
    <phoneticPr fontId="4" type="noConversion"/>
  </si>
  <si>
    <t>劉佩妤</t>
    <phoneticPr fontId="4" type="noConversion"/>
  </si>
  <si>
    <t>莊慧瀅</t>
    <phoneticPr fontId="4" type="noConversion"/>
  </si>
  <si>
    <t>蔡沛彣</t>
    <phoneticPr fontId="4" type="noConversion"/>
  </si>
  <si>
    <t>陳奕峰</t>
    <phoneticPr fontId="4" type="noConversion"/>
  </si>
  <si>
    <t>陳韻婷</t>
    <phoneticPr fontId="4" type="noConversion"/>
  </si>
  <si>
    <t>陳師迪</t>
    <phoneticPr fontId="4" type="noConversion"/>
  </si>
  <si>
    <t>蔡沛倩</t>
    <phoneticPr fontId="4" type="noConversion"/>
  </si>
  <si>
    <t>謝奇穎</t>
    <phoneticPr fontId="4" type="noConversion"/>
  </si>
  <si>
    <t>楊政澔</t>
    <phoneticPr fontId="4" type="noConversion"/>
  </si>
  <si>
    <t>李天瑋</t>
    <phoneticPr fontId="4" type="noConversion"/>
  </si>
  <si>
    <t>曾禹瑄</t>
    <phoneticPr fontId="4" type="noConversion"/>
  </si>
  <si>
    <t>蘇穎真</t>
    <phoneticPr fontId="4" type="noConversion"/>
  </si>
  <si>
    <t>王宏仁</t>
    <phoneticPr fontId="4" type="noConversion"/>
  </si>
  <si>
    <t>歐修瑋</t>
    <phoneticPr fontId="4" type="noConversion"/>
  </si>
  <si>
    <t>等級</t>
    <phoneticPr fontId="4" type="noConversion"/>
  </si>
  <si>
    <t>中級</t>
    <phoneticPr fontId="4" type="noConversion"/>
  </si>
  <si>
    <t>入門</t>
    <phoneticPr fontId="4" type="noConversion"/>
  </si>
  <si>
    <t>高階</t>
    <phoneticPr fontId="4" type="noConversion"/>
  </si>
  <si>
    <t>歐陽志成</t>
  </si>
  <si>
    <t>CT01</t>
    <phoneticPr fontId="4" type="noConversion"/>
  </si>
  <si>
    <t>CT02</t>
  </si>
  <si>
    <t>BT01</t>
    <phoneticPr fontId="4" type="noConversion"/>
  </si>
  <si>
    <t>BT02</t>
  </si>
  <si>
    <t>ST01</t>
    <phoneticPr fontId="4" type="noConversion"/>
  </si>
  <si>
    <t>ST02</t>
  </si>
  <si>
    <t>ST03</t>
  </si>
  <si>
    <t>HT01</t>
    <phoneticPr fontId="4" type="noConversion"/>
  </si>
  <si>
    <t>HT02</t>
  </si>
  <si>
    <t>HT03</t>
  </si>
  <si>
    <t>DT01</t>
    <phoneticPr fontId="4" type="noConversion"/>
  </si>
  <si>
    <t>DT02</t>
  </si>
  <si>
    <t>DT03</t>
  </si>
  <si>
    <t>PT01</t>
    <phoneticPr fontId="4" type="noConversion"/>
  </si>
  <si>
    <t>PT02</t>
  </si>
  <si>
    <t>PT03</t>
  </si>
  <si>
    <t>ET01</t>
    <phoneticPr fontId="4" type="noConversion"/>
  </si>
  <si>
    <t>ET02</t>
  </si>
  <si>
    <t>ET03</t>
  </si>
  <si>
    <t>AT01</t>
    <phoneticPr fontId="4" type="noConversion"/>
  </si>
  <si>
    <t>AT02</t>
  </si>
  <si>
    <t>AT03</t>
  </si>
  <si>
    <t>EP101</t>
    <phoneticPr fontId="4" type="noConversion"/>
  </si>
  <si>
    <t>EP102</t>
  </si>
  <si>
    <t>EP103</t>
  </si>
  <si>
    <t>EP104</t>
  </si>
  <si>
    <t>EP105</t>
  </si>
  <si>
    <t>EP106</t>
  </si>
  <si>
    <t>EP107</t>
  </si>
  <si>
    <t>EP108</t>
  </si>
  <si>
    <t>EP109</t>
  </si>
  <si>
    <t>EP110</t>
  </si>
  <si>
    <t>EP111</t>
  </si>
  <si>
    <t>EP112</t>
  </si>
  <si>
    <t>EP113</t>
  </si>
  <si>
    <t>EP114</t>
  </si>
  <si>
    <t>EP115</t>
  </si>
  <si>
    <t>EP116</t>
  </si>
  <si>
    <t>EP117</t>
  </si>
  <si>
    <t>EP118</t>
  </si>
  <si>
    <t>EP119</t>
  </si>
  <si>
    <t>EP120</t>
  </si>
  <si>
    <t>EP121</t>
  </si>
  <si>
    <t>EP122</t>
  </si>
  <si>
    <t>工號</t>
    <phoneticPr fontId="4" type="noConversion"/>
  </si>
  <si>
    <t>講師</t>
  </si>
  <si>
    <t>講師</t>
    <phoneticPr fontId="4" type="noConversion"/>
  </si>
  <si>
    <t>課程單價</t>
    <phoneticPr fontId="4" type="noConversion"/>
  </si>
  <si>
    <t>地點</t>
    <phoneticPr fontId="4" type="noConversion"/>
  </si>
  <si>
    <t>北區教室</t>
    <phoneticPr fontId="4" type="noConversion"/>
  </si>
  <si>
    <t>南區教室</t>
    <phoneticPr fontId="4" type="noConversion"/>
  </si>
  <si>
    <t>北區教室、南區教室</t>
    <phoneticPr fontId="4" type="noConversion"/>
  </si>
  <si>
    <t>樂活瑜珈中心</t>
    <phoneticPr fontId="4" type="noConversion"/>
  </si>
  <si>
    <t>北區教室課程名單</t>
    <phoneticPr fontId="4" type="noConversion"/>
  </si>
  <si>
    <t>學員姓名</t>
    <phoneticPr fontId="4" type="noConversion"/>
  </si>
  <si>
    <t>年齡層</t>
    <phoneticPr fontId="4" type="noConversion"/>
  </si>
  <si>
    <t>課程時段</t>
    <phoneticPr fontId="4" type="noConversion"/>
  </si>
  <si>
    <t>講師名冊</t>
    <phoneticPr fontId="4" type="noConversion"/>
  </si>
  <si>
    <t>楊瀞嘉</t>
  </si>
  <si>
    <t>開課日期</t>
    <phoneticPr fontId="4" type="noConversion"/>
  </si>
  <si>
    <t>課程時數</t>
    <phoneticPr fontId="4" type="noConversion"/>
  </si>
  <si>
    <t>鐘點費</t>
    <phoneticPr fontId="4" type="noConversion"/>
  </si>
  <si>
    <t>伸展瑜珈-入門</t>
  </si>
  <si>
    <t>伸展瑜珈-中級</t>
  </si>
  <si>
    <t>伸展瑜珈-高階</t>
  </si>
  <si>
    <t>兒童瑜珈-入門</t>
  </si>
  <si>
    <t>兒童瑜珈-中級</t>
  </si>
  <si>
    <t>哈達瑜珈-入門</t>
  </si>
  <si>
    <t>哈達瑜珈-中級</t>
  </si>
  <si>
    <t>哈達瑜珈-高階</t>
  </si>
  <si>
    <t>流瑜珈-入門</t>
  </si>
  <si>
    <t>流瑜珈-中級</t>
  </si>
  <si>
    <t>流瑜珈-高階</t>
  </si>
  <si>
    <t>香薰瑜珈-入門</t>
  </si>
  <si>
    <t>香薰瑜珈-中級</t>
  </si>
  <si>
    <t>香薰瑜珈-高階</t>
  </si>
  <si>
    <t>基礎瑜珈-入門</t>
  </si>
  <si>
    <t>基礎瑜珈-中級</t>
  </si>
  <si>
    <t>熱瑜珈-入門</t>
  </si>
  <si>
    <t>強力瑜珈-入門</t>
  </si>
  <si>
    <t>強力瑜珈-中級</t>
  </si>
  <si>
    <t>強力瑜珈-高階</t>
  </si>
  <si>
    <t>熱瑜珈-中級</t>
  </si>
  <si>
    <t>熱瑜珈-高階</t>
  </si>
  <si>
    <t>6~9歲</t>
    <phoneticPr fontId="4" type="noConversion"/>
  </si>
  <si>
    <t>10~15歲</t>
    <phoneticPr fontId="4" type="noConversion"/>
  </si>
  <si>
    <t>16~25歲</t>
    <phoneticPr fontId="4" type="noConversion"/>
  </si>
  <si>
    <t>26~40歲</t>
    <phoneticPr fontId="4" type="noConversion"/>
  </si>
  <si>
    <t>41~50歲</t>
    <phoneticPr fontId="4" type="noConversion"/>
  </si>
  <si>
    <t>51~65歲</t>
    <phoneticPr fontId="4" type="noConversion"/>
  </si>
  <si>
    <t>66以上</t>
    <phoneticPr fontId="4" type="noConversion"/>
  </si>
  <si>
    <t>南區教室課程名單</t>
    <phoneticPr fontId="4" type="noConversion"/>
  </si>
  <si>
    <t>開幕活動</t>
    <phoneticPr fontId="4" type="noConversion"/>
  </si>
  <si>
    <t>時間</t>
    <phoneticPr fontId="4" type="noConversion"/>
  </si>
  <si>
    <t>10:00~10:10</t>
    <phoneticPr fontId="4" type="noConversion"/>
  </si>
  <si>
    <t>10:10~10:15</t>
    <phoneticPr fontId="4" type="noConversion"/>
  </si>
  <si>
    <t>10:20-10:50</t>
    <phoneticPr fontId="4" type="noConversion"/>
  </si>
  <si>
    <t>11:00-11:20</t>
    <phoneticPr fontId="4" type="noConversion"/>
  </si>
  <si>
    <t>11:20-11:40</t>
    <phoneticPr fontId="4" type="noConversion"/>
  </si>
  <si>
    <t>11:40~12:20</t>
    <phoneticPr fontId="4" type="noConversion"/>
  </si>
  <si>
    <t>節目(主持人)</t>
    <phoneticPr fontId="4" type="noConversion"/>
  </si>
  <si>
    <t>開幕儀式 (陳美莉)</t>
  </si>
  <si>
    <t>來賓致詞 (王莉婷)</t>
  </si>
  <si>
    <t>兒童舞蹈 (羅小貞)</t>
  </si>
  <si>
    <t>青少年街舞 (林曉薇)</t>
  </si>
  <si>
    <t>樂活極致瑜珈 (邱語軒)</t>
  </si>
  <si>
    <t>茶點敘 (王怡婷)</t>
  </si>
  <si>
    <t>樂活2021年開幕日期：</t>
    <phoneticPr fontId="4" type="noConversion"/>
  </si>
  <si>
    <t>R204</t>
  </si>
  <si>
    <t>R305</t>
  </si>
  <si>
    <t>R306</t>
  </si>
  <si>
    <t>R307</t>
  </si>
  <si>
    <t>R208</t>
  </si>
  <si>
    <t>R309</t>
  </si>
  <si>
    <t>R300</t>
  </si>
  <si>
    <t>R301</t>
  </si>
  <si>
    <t>R304</t>
  </si>
  <si>
    <t>R207</t>
  </si>
  <si>
    <t>R209</t>
  </si>
  <si>
    <t>R200</t>
  </si>
  <si>
    <t>R201</t>
  </si>
  <si>
    <t>R202</t>
  </si>
  <si>
    <t>R308</t>
  </si>
  <si>
    <t>R205</t>
  </si>
  <si>
    <t>R206</t>
  </si>
  <si>
    <t>年齡層</t>
  </si>
  <si>
    <t>10~15歲</t>
  </si>
  <si>
    <t>26~40歲</t>
  </si>
  <si>
    <t>51~65歲</t>
  </si>
  <si>
    <t>16~25歲</t>
  </si>
  <si>
    <t>66以上</t>
  </si>
  <si>
    <t>6~9歲</t>
  </si>
  <si>
    <t>41~50歲</t>
  </si>
  <si>
    <t>收入</t>
    <phoneticPr fontId="4" type="noConversion"/>
  </si>
  <si>
    <t>支出</t>
    <phoneticPr fontId="4" type="noConversion"/>
  </si>
  <si>
    <t>參加人數</t>
    <phoneticPr fontId="4" type="noConversion"/>
  </si>
  <si>
    <t>損益</t>
    <phoneticPr fontId="4" type="noConversion"/>
  </si>
  <si>
    <t>學員人數</t>
  </si>
  <si>
    <t>總時數</t>
  </si>
  <si>
    <t>2021年三月份課程人數與收支摘要</t>
    <phoneticPr fontId="4" type="noConversion"/>
  </si>
  <si>
    <t>完課時數</t>
    <phoneticPr fontId="4" type="noConversion"/>
  </si>
  <si>
    <t>學員完課統計</t>
    <phoneticPr fontId="4" type="noConversion"/>
  </si>
  <si>
    <t>講師費總額</t>
    <phoneticPr fontId="4" type="noConversion"/>
  </si>
  <si>
    <t>去年營收</t>
    <phoneticPr fontId="4" type="noConversion"/>
  </si>
  <si>
    <t>今年目標</t>
    <phoneticPr fontId="4" type="noConversion"/>
  </si>
  <si>
    <t>去年學員人數</t>
    <phoneticPr fontId="4" type="noConversion"/>
  </si>
  <si>
    <t>樂活瑜珈中心</t>
  </si>
  <si>
    <t>2020年營收目標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</si>
</sst>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[$-409]h:mm\ AM/PM;@"/>
    <numFmt numFmtId="177" formatCode="&quot;$&quot;#,##0"/>
    <numFmt numFmtId="178" formatCode="_-&quot;$&quot;* #,##0_-;\-&quot;$&quot;* #,##0_-;_-&quot;$&quot;* &quot;-&quot;??_-;_-@_-"/>
    <numFmt numFmtId="179" formatCode="_-* #,##0_-;\-* #,##0_-;_-* &quot;-&quot;??_-;_-@_-"/>
    <numFmt numFmtId="181" formatCode="[$-404]aaaa;@"/>
  </numFmts>
  <fonts count="15" x14ac:knownFonts="1">
    <font>
      <sz val="12"/>
      <color theme="1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4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4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ck">
        <color theme="5" tint="-0.24994659260841701"/>
      </left>
      <right/>
      <top style="thick">
        <color theme="5" tint="-0.24994659260841701"/>
      </top>
      <bottom/>
      <diagonal/>
    </border>
    <border>
      <left/>
      <right style="thick">
        <color theme="5" tint="-0.24994659260841701"/>
      </right>
      <top style="thick">
        <color theme="5" tint="-0.24994659260841701"/>
      </top>
      <bottom/>
      <diagonal/>
    </border>
    <border>
      <left style="thick">
        <color theme="5" tint="-0.24994659260841701"/>
      </left>
      <right/>
      <top/>
      <bottom style="thick">
        <color theme="5" tint="-0.24994659260841701"/>
      </bottom>
      <diagonal/>
    </border>
    <border>
      <left/>
      <right style="thick">
        <color theme="5" tint="-0.24994659260841701"/>
      </right>
      <top/>
      <bottom style="thick">
        <color theme="5" tint="-0.24994659260841701"/>
      </bottom>
      <diagonal/>
    </border>
  </borders>
  <cellStyleXfs count="2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5" fillId="0" borderId="1" xfId="0" applyNumberFormat="1" applyFont="1" applyFill="1" applyBorder="1">
      <alignment vertical="center"/>
    </xf>
    <xf numFmtId="176" fontId="5" fillId="0" borderId="2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0" xfId="0" applyFont="1" applyFill="1" applyBorder="1">
      <alignment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 vertical="center"/>
    </xf>
    <xf numFmtId="0" fontId="9" fillId="0" borderId="1" xfId="0" applyNumberFormat="1" applyFont="1" applyFill="1" applyBorder="1">
      <alignment vertical="center"/>
    </xf>
    <xf numFmtId="14" fontId="9" fillId="0" borderId="1" xfId="0" applyNumberFormat="1" applyFont="1" applyFill="1" applyBorder="1">
      <alignment vertical="center"/>
    </xf>
    <xf numFmtId="14" fontId="3" fillId="2" borderId="4" xfId="0" applyNumberFormat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7" fontId="3" fillId="0" borderId="0" xfId="0" applyNumberFormat="1" applyFont="1">
      <alignment vertical="center"/>
    </xf>
    <xf numFmtId="177" fontId="9" fillId="0" borderId="1" xfId="0" applyNumberFormat="1" applyFont="1" applyFill="1" applyBorder="1">
      <alignment vertical="center"/>
    </xf>
    <xf numFmtId="0" fontId="9" fillId="2" borderId="1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9" fillId="2" borderId="1" xfId="0" applyNumberFormat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1" xfId="0" applyFont="1" applyFill="1" applyBorder="1">
      <alignment vertical="center"/>
    </xf>
    <xf numFmtId="0" fontId="9" fillId="4" borderId="1" xfId="0" applyNumberFormat="1" applyFont="1" applyFill="1" applyBorder="1" applyAlignment="1">
      <alignment horizontal="right" vertical="center"/>
    </xf>
    <xf numFmtId="0" fontId="9" fillId="4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9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179" fontId="1" fillId="0" borderId="0" xfId="1" applyNumberFormat="1" applyFont="1">
      <alignment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1" fontId="3" fillId="2" borderId="6" xfId="0" applyNumberFormat="1" applyFont="1" applyFill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4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  <dxf>
      <font>
        <color rgb="FFFF00FF"/>
      </font>
    </dxf>
    <dxf>
      <font>
        <color rgb="FF9900CC"/>
      </font>
    </dxf>
    <dxf>
      <font>
        <color rgb="FF006600"/>
      </font>
    </dxf>
    <dxf>
      <font>
        <color rgb="FF0000CC"/>
      </font>
    </dxf>
    <dxf>
      <font>
        <color rgb="FF996633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6633"/>
      <color rgb="FF0000CC"/>
      <color rgb="FF006600"/>
      <color rgb="FF99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學員完課統計!$C$3</c:f>
              <c:strCache>
                <c:ptCount val="1"/>
                <c:pt idx="0">
                  <c:v>總時數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學員完課統計!$A$4:$A$10</c:f>
              <c:strCache>
                <c:ptCount val="7"/>
                <c:pt idx="0">
                  <c:v>6~9歲</c:v>
                </c:pt>
                <c:pt idx="1">
                  <c:v>10~15歲</c:v>
                </c:pt>
                <c:pt idx="2">
                  <c:v>16~25歲</c:v>
                </c:pt>
                <c:pt idx="3">
                  <c:v>26~40歲</c:v>
                </c:pt>
                <c:pt idx="4">
                  <c:v>41~50歲</c:v>
                </c:pt>
                <c:pt idx="5">
                  <c:v>51~65歲</c:v>
                </c:pt>
                <c:pt idx="6">
                  <c:v>66以上</c:v>
                </c:pt>
              </c:strCache>
            </c:strRef>
          </c:cat>
          <c:val>
            <c:numRef>
              <c:f>學員完課統計!$C$4:$C$10</c:f>
              <c:numCache>
                <c:formatCode>General</c:formatCode>
                <c:ptCount val="7"/>
                <c:pt idx="0">
                  <c:v>72</c:v>
                </c:pt>
                <c:pt idx="1">
                  <c:v>156</c:v>
                </c:pt>
                <c:pt idx="2">
                  <c:v>507</c:v>
                </c:pt>
                <c:pt idx="3">
                  <c:v>1095</c:v>
                </c:pt>
                <c:pt idx="4">
                  <c:v>168</c:v>
                </c:pt>
                <c:pt idx="5">
                  <c:v>183</c:v>
                </c:pt>
                <c:pt idx="6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F-4E54-ADAA-985BBCF73DCE}"/>
            </c:ext>
          </c:extLst>
        </c:ser>
        <c:ser>
          <c:idx val="2"/>
          <c:order val="2"/>
          <c:tx>
            <c:strRef>
              <c:f>學員完課統計!$D$3</c:f>
              <c:strCache>
                <c:ptCount val="1"/>
                <c:pt idx="0">
                  <c:v>完課時數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學員完課統計!$A$4:$A$10</c:f>
              <c:strCache>
                <c:ptCount val="7"/>
                <c:pt idx="0">
                  <c:v>6~9歲</c:v>
                </c:pt>
                <c:pt idx="1">
                  <c:v>10~15歲</c:v>
                </c:pt>
                <c:pt idx="2">
                  <c:v>16~25歲</c:v>
                </c:pt>
                <c:pt idx="3">
                  <c:v>26~40歲</c:v>
                </c:pt>
                <c:pt idx="4">
                  <c:v>41~50歲</c:v>
                </c:pt>
                <c:pt idx="5">
                  <c:v>51~65歲</c:v>
                </c:pt>
                <c:pt idx="6">
                  <c:v>66以上</c:v>
                </c:pt>
              </c:strCache>
            </c:strRef>
          </c:cat>
          <c:val>
            <c:numRef>
              <c:f>學員完課統計!$D$4:$D$10</c:f>
              <c:numCache>
                <c:formatCode>General</c:formatCode>
                <c:ptCount val="7"/>
                <c:pt idx="0">
                  <c:v>58</c:v>
                </c:pt>
                <c:pt idx="1">
                  <c:v>142</c:v>
                </c:pt>
                <c:pt idx="2">
                  <c:v>486</c:v>
                </c:pt>
                <c:pt idx="3">
                  <c:v>928</c:v>
                </c:pt>
                <c:pt idx="4">
                  <c:v>133</c:v>
                </c:pt>
                <c:pt idx="5">
                  <c:v>178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F-4E54-ADAA-985BBCF73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813692400"/>
        <c:axId val="813685744"/>
      </c:barChart>
      <c:lineChart>
        <c:grouping val="standard"/>
        <c:varyColors val="0"/>
        <c:ser>
          <c:idx val="0"/>
          <c:order val="0"/>
          <c:tx>
            <c:strRef>
              <c:f>學員完課統計!$B$3</c:f>
              <c:strCache>
                <c:ptCount val="1"/>
                <c:pt idx="0">
                  <c:v>學員人數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學員完課統計!$A$4:$A$10</c:f>
              <c:strCache>
                <c:ptCount val="7"/>
                <c:pt idx="0">
                  <c:v>6~9歲</c:v>
                </c:pt>
                <c:pt idx="1">
                  <c:v>10~15歲</c:v>
                </c:pt>
                <c:pt idx="2">
                  <c:v>16~25歲</c:v>
                </c:pt>
                <c:pt idx="3">
                  <c:v>26~40歲</c:v>
                </c:pt>
                <c:pt idx="4">
                  <c:v>41~50歲</c:v>
                </c:pt>
                <c:pt idx="5">
                  <c:v>51~65歲</c:v>
                </c:pt>
                <c:pt idx="6">
                  <c:v>66以上</c:v>
                </c:pt>
              </c:strCache>
            </c:strRef>
          </c:cat>
          <c:val>
            <c:numRef>
              <c:f>學員完課統計!$B$4:$B$10</c:f>
              <c:numCache>
                <c:formatCode>General</c:formatCode>
                <c:ptCount val="7"/>
                <c:pt idx="0">
                  <c:v>12</c:v>
                </c:pt>
                <c:pt idx="1">
                  <c:v>19</c:v>
                </c:pt>
                <c:pt idx="2">
                  <c:v>68</c:v>
                </c:pt>
                <c:pt idx="3">
                  <c:v>149</c:v>
                </c:pt>
                <c:pt idx="4">
                  <c:v>20</c:v>
                </c:pt>
                <c:pt idx="5">
                  <c:v>26</c:v>
                </c:pt>
                <c:pt idx="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1F-4E54-ADAA-985BBCF73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813684080"/>
        <c:axId val="813691152"/>
      </c:lineChart>
      <c:catAx>
        <c:axId val="8136924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3685744"/>
        <c:crosses val="autoZero"/>
        <c:auto val="1"/>
        <c:lblAlgn val="ctr"/>
        <c:lblOffset val="100"/>
        <c:noMultiLvlLbl val="0"/>
      </c:catAx>
      <c:valAx>
        <c:axId val="8136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3692400"/>
        <c:crosses val="autoZero"/>
        <c:crossBetween val="between"/>
      </c:valAx>
      <c:valAx>
        <c:axId val="813691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13684080"/>
        <c:crosses val="max"/>
        <c:crossBetween val="between"/>
      </c:valAx>
      <c:catAx>
        <c:axId val="8136840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691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204786</xdr:colOff>
      <xdr:row>1</xdr:row>
      <xdr:rowOff>9524</xdr:rowOff>
    </xdr:from>
    <xdr:to>
      <xdr:col>11</xdr:col>
      <xdr:colOff>552449</xdr:colOff>
      <xdr:row>15</xdr:row>
      <xdr:rowOff>114299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A6D89CE-C156-4AFC-A24D-39D3CF07F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1443;&#21152;&#21517;&#2087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參加名冊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062D27-81CE-4741-A30D-13DFDB49903E}" name="講師名單" displayName="講師名單" ref="A3:H25" totalsRowShown="0" headerRowDxfId="23" dataDxfId="22" tableBorderDxfId="21">
  <autoFilter ref="A3:H25" xr:uid="{F637E594-997E-4D0F-B91B-6A0F5F3FA1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1A1088-2AD0-4E5B-8E22-55665AFFD3AB}" name="工號" dataDxfId="20"/>
    <tableColumn id="2" xr3:uid="{6814103A-82D3-4622-9F0D-94ECA5EBF4B0}" name="講師" dataDxfId="19"/>
    <tableColumn id="3" xr3:uid="{62C6A4B5-A569-4494-9DEB-D79CA6478BDF}" name="課程編號" dataDxfId="18"/>
    <tableColumn id="4" xr3:uid="{7806F930-3AD2-48C9-9F7C-C9D93F439D57}" name="課程" dataDxfId="17"/>
    <tableColumn id="5" xr3:uid="{CE4F6A1F-4D94-4B79-BFFF-76C630E5E990}" name="課程時數" dataDxfId="16"/>
    <tableColumn id="6" xr3:uid="{4CF5CAC6-AC16-4E10-A6FF-C73DDD3799DB}" name="等級" dataDxfId="15"/>
    <tableColumn id="8" xr3:uid="{D1A3DC47-4C30-4D9E-8831-8968387936C7}" name="地點" dataDxfId="14"/>
    <tableColumn id="7" xr3:uid="{F7A261E8-F0F0-449F-932A-61BF68FBF110}" name="課程單價" data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45F239-18AB-4800-9778-CAA4C6933923}" name="學員完課統計" displayName="學員完課統計" ref="A3:D11" totalsRowShown="0" headerRowDxfId="12" dataDxfId="11">
  <autoFilter ref="A3:D11" xr:uid="{D2275231-1522-4AD3-8762-0E0509BF88C3}"/>
  <tableColumns count="4">
    <tableColumn id="1" xr3:uid="{9B18BCBC-7616-4325-9A5F-992CCFD1EFAC}" name="年齡層" dataDxfId="10"/>
    <tableColumn id="2" xr3:uid="{50D6173E-8B80-425A-99DA-1DB133F80FA0}" name="學員人數" dataDxfId="9"/>
    <tableColumn id="3" xr3:uid="{7BC49B09-5CB0-4CE6-AEB5-2A2F37373258}" name="總時數" dataDxfId="8"/>
    <tableColumn id="4" xr3:uid="{A51FE8FB-0E9E-4968-9868-D645BEB4B59A}" name="完課時數" dataDxfId="7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6779A2-A8D8-4601-B983-98A65EE1EBCF}" name="三月份摘要" displayName="三月份摘要" ref="A3:E11" totalsRowShown="0" headerRowDxfId="6" dataDxfId="5">
  <autoFilter ref="A3:E11" xr:uid="{C0C0C881-B21B-4DF6-8A17-2E8E8A0D0ED3}"/>
  <tableColumns count="5">
    <tableColumn id="1" xr3:uid="{AECC9844-E105-4ADC-997D-873EB45EFC64}" name="課程" dataDxfId="4"/>
    <tableColumn id="2" xr3:uid="{036D370F-48E3-4878-BEEA-47A3CAF12795}" name="參加人數" dataDxfId="3"/>
    <tableColumn id="3" xr3:uid="{2206402B-3983-4EF9-A57B-91E7EA30665A}" name="支出" dataDxfId="2"/>
    <tableColumn id="4" xr3:uid="{8C5BE657-A586-4D5D-A028-4EE143E0AD7F}" name="收入" dataDxfId="1"/>
    <tableColumn id="5" xr3:uid="{B5865CD8-F27C-437D-A4FB-26D59656454E}" name="損益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8C37-A96D-48A2-8901-B6AB7D1C1DDD}">
  <dimension ref="A1:K131"/>
  <sheetViews>
    <sheetView tabSelected="1" workbookViewId="0">
      <selection sqref="A1:K1"/>
    </sheetView>
  </sheetViews>
  <sheetFormatPr defaultRowHeight="15" x14ac:dyDescent="0.25"/>
  <cols>
    <col min="1" max="1" width="9" style="10"/>
    <col min="2" max="2" width="9.5" style="10" bestFit="1" customWidth="1"/>
    <col min="3" max="3" width="9.25" style="10" bestFit="1" customWidth="1"/>
    <col min="4" max="4" width="15.625" style="10" customWidth="1"/>
    <col min="5" max="5" width="11.625" style="10" customWidth="1"/>
    <col min="6" max="6" width="9.25" style="10" bestFit="1" customWidth="1"/>
    <col min="7" max="7" width="9" style="10"/>
    <col min="8" max="8" width="11.25" style="10" bestFit="1" customWidth="1"/>
    <col min="9" max="9" width="9" style="10"/>
    <col min="10" max="10" width="10.125" style="10" bestFit="1" customWidth="1"/>
    <col min="11" max="16384" width="9" style="10"/>
  </cols>
  <sheetData>
    <row r="1" spans="1:11" ht="20.25" x14ac:dyDescent="0.25">
      <c r="A1" s="40" t="s">
        <v>428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8.75" x14ac:dyDescent="0.25">
      <c r="A2" s="39" t="s">
        <v>429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25">
      <c r="A3" s="18" t="s">
        <v>430</v>
      </c>
      <c r="B3" s="19" t="s">
        <v>431</v>
      </c>
      <c r="C3" s="20" t="s">
        <v>1</v>
      </c>
      <c r="D3" s="19" t="s">
        <v>0</v>
      </c>
      <c r="E3" s="18" t="s">
        <v>435</v>
      </c>
      <c r="F3" s="21" t="s">
        <v>436</v>
      </c>
      <c r="G3" s="21" t="s">
        <v>437</v>
      </c>
      <c r="H3" s="21" t="s">
        <v>518</v>
      </c>
      <c r="I3" s="22" t="s">
        <v>2</v>
      </c>
      <c r="J3" s="21" t="s">
        <v>432</v>
      </c>
      <c r="K3" s="30" t="s">
        <v>421</v>
      </c>
    </row>
    <row r="4" spans="1:11" x14ac:dyDescent="0.25">
      <c r="A4" s="10" t="s">
        <v>135</v>
      </c>
      <c r="B4" s="4" t="s">
        <v>463</v>
      </c>
      <c r="C4" s="3" t="s">
        <v>381</v>
      </c>
      <c r="D4" s="4" t="s">
        <v>447</v>
      </c>
      <c r="E4" s="11">
        <v>44256</v>
      </c>
      <c r="F4" s="4">
        <v>6</v>
      </c>
      <c r="G4" s="17">
        <v>1000</v>
      </c>
      <c r="H4" s="17">
        <f t="shared" ref="H4:H35" si="0">F4*G4</f>
        <v>6000</v>
      </c>
      <c r="I4" s="14" t="s">
        <v>484</v>
      </c>
      <c r="J4" s="1">
        <v>0.33333333333333331</v>
      </c>
      <c r="K4" s="10" t="s">
        <v>176</v>
      </c>
    </row>
    <row r="5" spans="1:11" x14ac:dyDescent="0.25">
      <c r="A5" s="10" t="s">
        <v>79</v>
      </c>
      <c r="B5" s="4" t="s">
        <v>465</v>
      </c>
      <c r="C5" s="3" t="s">
        <v>396</v>
      </c>
      <c r="D5" s="4" t="s">
        <v>450</v>
      </c>
      <c r="E5" s="11">
        <v>44257</v>
      </c>
      <c r="F5" s="4">
        <v>12</v>
      </c>
      <c r="G5" s="17">
        <v>900</v>
      </c>
      <c r="H5" s="17">
        <f t="shared" si="0"/>
        <v>10800</v>
      </c>
      <c r="I5" s="14" t="s">
        <v>486</v>
      </c>
      <c r="J5" s="1">
        <v>0.41666666666666669</v>
      </c>
      <c r="K5" s="10" t="s">
        <v>167</v>
      </c>
    </row>
    <row r="6" spans="1:11" x14ac:dyDescent="0.25">
      <c r="A6" s="10" t="s">
        <v>85</v>
      </c>
      <c r="B6" s="4" t="s">
        <v>463</v>
      </c>
      <c r="C6" s="3" t="s">
        <v>395</v>
      </c>
      <c r="D6" s="4" t="s">
        <v>449</v>
      </c>
      <c r="E6" s="11">
        <v>44280</v>
      </c>
      <c r="F6" s="4">
        <v>9</v>
      </c>
      <c r="G6" s="17">
        <v>800</v>
      </c>
      <c r="H6" s="17">
        <f t="shared" si="0"/>
        <v>7200</v>
      </c>
      <c r="I6" s="14" t="s">
        <v>485</v>
      </c>
      <c r="J6" s="1">
        <v>0.45833333333333331</v>
      </c>
      <c r="K6" s="10" t="s">
        <v>166</v>
      </c>
    </row>
    <row r="7" spans="1:11" x14ac:dyDescent="0.25">
      <c r="A7" s="10" t="s">
        <v>162</v>
      </c>
      <c r="B7" s="4" t="s">
        <v>462</v>
      </c>
      <c r="C7" s="3" t="s">
        <v>383</v>
      </c>
      <c r="D7" s="4" t="s">
        <v>454</v>
      </c>
      <c r="E7" s="11">
        <v>44270</v>
      </c>
      <c r="F7" s="4">
        <v>3</v>
      </c>
      <c r="G7" s="17">
        <v>800</v>
      </c>
      <c r="H7" s="17">
        <f t="shared" si="0"/>
        <v>2400</v>
      </c>
      <c r="I7" s="14" t="s">
        <v>498</v>
      </c>
      <c r="J7" s="1">
        <v>0.58333333333333337</v>
      </c>
      <c r="K7" s="10" t="s">
        <v>172</v>
      </c>
    </row>
    <row r="8" spans="1:11" x14ac:dyDescent="0.25">
      <c r="A8" s="10" t="s">
        <v>43</v>
      </c>
      <c r="B8" s="4" t="s">
        <v>463</v>
      </c>
      <c r="C8" s="3" t="s">
        <v>392</v>
      </c>
      <c r="D8" s="4" t="s">
        <v>438</v>
      </c>
      <c r="E8" s="11">
        <v>44282</v>
      </c>
      <c r="F8" s="4">
        <v>6</v>
      </c>
      <c r="G8" s="17">
        <v>700</v>
      </c>
      <c r="H8" s="17">
        <f t="shared" si="0"/>
        <v>4200</v>
      </c>
      <c r="I8" s="14" t="s">
        <v>500</v>
      </c>
      <c r="J8" s="1">
        <v>0.33333333333333331</v>
      </c>
      <c r="K8" s="10" t="s">
        <v>11</v>
      </c>
    </row>
    <row r="9" spans="1:11" x14ac:dyDescent="0.25">
      <c r="A9" s="10" t="s">
        <v>109</v>
      </c>
      <c r="B9" s="4" t="s">
        <v>462</v>
      </c>
      <c r="C9" s="3" t="s">
        <v>394</v>
      </c>
      <c r="D9" s="4" t="s">
        <v>440</v>
      </c>
      <c r="E9" s="11">
        <v>44277</v>
      </c>
      <c r="F9" s="4">
        <v>9</v>
      </c>
      <c r="G9" s="17">
        <v>900</v>
      </c>
      <c r="H9" s="17">
        <f t="shared" si="0"/>
        <v>8100</v>
      </c>
      <c r="I9" s="14" t="s">
        <v>497</v>
      </c>
      <c r="J9" s="1">
        <v>0.375</v>
      </c>
      <c r="K9" s="10" t="s">
        <v>13</v>
      </c>
    </row>
    <row r="10" spans="1:11" x14ac:dyDescent="0.25">
      <c r="A10" s="10" t="s">
        <v>100</v>
      </c>
      <c r="B10" s="4" t="s">
        <v>463</v>
      </c>
      <c r="C10" s="3" t="s">
        <v>394</v>
      </c>
      <c r="D10" s="4" t="s">
        <v>440</v>
      </c>
      <c r="E10" s="11">
        <v>44272</v>
      </c>
      <c r="F10" s="4">
        <v>9</v>
      </c>
      <c r="G10" s="17">
        <v>900</v>
      </c>
      <c r="H10" s="17">
        <f t="shared" si="0"/>
        <v>8100</v>
      </c>
      <c r="I10" s="14" t="s">
        <v>496</v>
      </c>
      <c r="J10" s="1">
        <v>0.41666666666666669</v>
      </c>
      <c r="K10" s="10" t="s">
        <v>13</v>
      </c>
    </row>
    <row r="11" spans="1:11" x14ac:dyDescent="0.25">
      <c r="A11" s="10" t="s">
        <v>143</v>
      </c>
      <c r="B11" s="4" t="s">
        <v>463</v>
      </c>
      <c r="C11" s="3" t="s">
        <v>396</v>
      </c>
      <c r="D11" s="4" t="s">
        <v>450</v>
      </c>
      <c r="E11" s="11">
        <v>44281</v>
      </c>
      <c r="F11" s="4">
        <v>12</v>
      </c>
      <c r="G11" s="17">
        <v>900</v>
      </c>
      <c r="H11" s="17">
        <f t="shared" si="0"/>
        <v>10800</v>
      </c>
      <c r="I11" s="14" t="s">
        <v>26</v>
      </c>
      <c r="J11" s="1">
        <v>0.45833333333333331</v>
      </c>
      <c r="K11" s="10" t="s">
        <v>167</v>
      </c>
    </row>
    <row r="12" spans="1:11" x14ac:dyDescent="0.25">
      <c r="A12" s="10" t="s">
        <v>157</v>
      </c>
      <c r="B12" s="4" t="s">
        <v>465</v>
      </c>
      <c r="C12" s="3" t="s">
        <v>383</v>
      </c>
      <c r="D12" s="4" t="s">
        <v>454</v>
      </c>
      <c r="E12" s="11">
        <v>44272</v>
      </c>
      <c r="F12" s="4">
        <v>3</v>
      </c>
      <c r="G12" s="17">
        <v>800</v>
      </c>
      <c r="H12" s="17">
        <f t="shared" si="0"/>
        <v>2400</v>
      </c>
      <c r="I12" s="14" t="s">
        <v>28</v>
      </c>
      <c r="J12" s="1">
        <v>0.58333333333333337</v>
      </c>
      <c r="K12" s="10" t="s">
        <v>172</v>
      </c>
    </row>
    <row r="13" spans="1:11" x14ac:dyDescent="0.25">
      <c r="A13" s="10" t="s">
        <v>84</v>
      </c>
      <c r="B13" s="4" t="s">
        <v>462</v>
      </c>
      <c r="C13" s="3" t="s">
        <v>392</v>
      </c>
      <c r="D13" s="4" t="s">
        <v>438</v>
      </c>
      <c r="E13" s="11">
        <v>44282</v>
      </c>
      <c r="F13" s="4">
        <v>6</v>
      </c>
      <c r="G13" s="17">
        <v>700</v>
      </c>
      <c r="H13" s="17">
        <f t="shared" si="0"/>
        <v>4200</v>
      </c>
      <c r="I13" s="14" t="s">
        <v>487</v>
      </c>
      <c r="J13" s="1">
        <v>0.33333333333333331</v>
      </c>
      <c r="K13" s="10" t="s">
        <v>11</v>
      </c>
    </row>
    <row r="14" spans="1:11" x14ac:dyDescent="0.25">
      <c r="A14" s="10" t="s">
        <v>116</v>
      </c>
      <c r="B14" s="4" t="s">
        <v>463</v>
      </c>
      <c r="C14" s="3" t="s">
        <v>387</v>
      </c>
      <c r="D14" s="4" t="s">
        <v>444</v>
      </c>
      <c r="E14" s="11">
        <v>44270</v>
      </c>
      <c r="F14" s="4">
        <v>9</v>
      </c>
      <c r="G14" s="17">
        <v>900</v>
      </c>
      <c r="H14" s="17">
        <f t="shared" si="0"/>
        <v>8100</v>
      </c>
      <c r="I14" s="14" t="s">
        <v>489</v>
      </c>
      <c r="J14" s="1">
        <v>0.375</v>
      </c>
      <c r="K14" s="10" t="s">
        <v>170</v>
      </c>
    </row>
    <row r="15" spans="1:11" x14ac:dyDescent="0.25">
      <c r="A15" s="10" t="s">
        <v>102</v>
      </c>
      <c r="B15" s="4" t="s">
        <v>466</v>
      </c>
      <c r="C15" s="3" t="s">
        <v>380</v>
      </c>
      <c r="D15" s="4" t="s">
        <v>446</v>
      </c>
      <c r="E15" s="11">
        <v>44283</v>
      </c>
      <c r="F15" s="4">
        <v>3</v>
      </c>
      <c r="G15" s="17">
        <v>800</v>
      </c>
      <c r="H15" s="17">
        <f t="shared" si="0"/>
        <v>2400</v>
      </c>
      <c r="I15" s="14" t="s">
        <v>485</v>
      </c>
      <c r="J15" s="1">
        <v>0.41666666666666669</v>
      </c>
      <c r="K15" s="10" t="s">
        <v>175</v>
      </c>
    </row>
    <row r="16" spans="1:11" x14ac:dyDescent="0.25">
      <c r="A16" s="10" t="s">
        <v>66</v>
      </c>
      <c r="B16" s="4" t="s">
        <v>465</v>
      </c>
      <c r="C16" s="3" t="s">
        <v>386</v>
      </c>
      <c r="D16" s="4" t="s">
        <v>443</v>
      </c>
      <c r="E16" s="11">
        <v>44262</v>
      </c>
      <c r="F16" s="4">
        <v>6</v>
      </c>
      <c r="G16" s="17">
        <v>800</v>
      </c>
      <c r="H16" s="17">
        <f t="shared" si="0"/>
        <v>4800</v>
      </c>
      <c r="I16" s="14" t="s">
        <v>492</v>
      </c>
      <c r="J16" s="1">
        <v>0.45833333333333331</v>
      </c>
      <c r="K16" s="10" t="s">
        <v>169</v>
      </c>
    </row>
    <row r="17" spans="1:11" x14ac:dyDescent="0.25">
      <c r="A17" s="10" t="s">
        <v>107</v>
      </c>
      <c r="B17" s="4" t="s">
        <v>463</v>
      </c>
      <c r="C17" s="3" t="s">
        <v>386</v>
      </c>
      <c r="D17" s="4" t="s">
        <v>443</v>
      </c>
      <c r="E17" s="11">
        <v>44266</v>
      </c>
      <c r="F17" s="4">
        <v>6</v>
      </c>
      <c r="G17" s="17">
        <v>800</v>
      </c>
      <c r="H17" s="17">
        <f t="shared" si="0"/>
        <v>4800</v>
      </c>
      <c r="I17" s="14" t="s">
        <v>486</v>
      </c>
      <c r="J17" s="1">
        <v>0.58333333333333337</v>
      </c>
      <c r="K17" s="10" t="s">
        <v>169</v>
      </c>
    </row>
    <row r="18" spans="1:11" x14ac:dyDescent="0.25">
      <c r="A18" s="10" t="s">
        <v>47</v>
      </c>
      <c r="B18" s="4" t="s">
        <v>461</v>
      </c>
      <c r="C18" s="3" t="s">
        <v>377</v>
      </c>
      <c r="D18" s="4" t="s">
        <v>442</v>
      </c>
      <c r="E18" s="11">
        <v>44277</v>
      </c>
      <c r="F18" s="4">
        <v>9</v>
      </c>
      <c r="G18" s="17">
        <v>700</v>
      </c>
      <c r="H18" s="17">
        <f t="shared" si="0"/>
        <v>6300</v>
      </c>
      <c r="I18" s="14" t="s">
        <v>26</v>
      </c>
      <c r="J18" s="1">
        <v>0.58333333333333337</v>
      </c>
      <c r="K18" s="10" t="s">
        <v>5</v>
      </c>
    </row>
    <row r="19" spans="1:11" x14ac:dyDescent="0.25">
      <c r="A19" s="10" t="s">
        <v>147</v>
      </c>
      <c r="B19" s="4" t="s">
        <v>464</v>
      </c>
      <c r="C19" s="3" t="s">
        <v>379</v>
      </c>
      <c r="D19" s="4" t="s">
        <v>453</v>
      </c>
      <c r="E19" s="11">
        <v>44265</v>
      </c>
      <c r="F19" s="4">
        <v>9</v>
      </c>
      <c r="G19" s="17">
        <v>800</v>
      </c>
      <c r="H19" s="17">
        <f t="shared" si="0"/>
        <v>7200</v>
      </c>
      <c r="I19" s="14" t="s">
        <v>27</v>
      </c>
      <c r="J19" s="1">
        <v>0.625</v>
      </c>
      <c r="K19" s="10" t="s">
        <v>9</v>
      </c>
    </row>
    <row r="20" spans="1:11" x14ac:dyDescent="0.25">
      <c r="A20" s="10" t="s">
        <v>131</v>
      </c>
      <c r="B20" s="4" t="s">
        <v>463</v>
      </c>
      <c r="C20" s="3" t="s">
        <v>382</v>
      </c>
      <c r="D20" s="4" t="s">
        <v>448</v>
      </c>
      <c r="E20" s="11">
        <v>44268</v>
      </c>
      <c r="F20" s="4">
        <v>9</v>
      </c>
      <c r="G20" s="17">
        <v>1200</v>
      </c>
      <c r="H20" s="17">
        <f t="shared" si="0"/>
        <v>10800</v>
      </c>
      <c r="I20" s="14" t="s">
        <v>495</v>
      </c>
      <c r="J20" s="1">
        <v>0.66666666666666663</v>
      </c>
      <c r="K20" s="10" t="s">
        <v>177</v>
      </c>
    </row>
    <row r="21" spans="1:11" x14ac:dyDescent="0.25">
      <c r="A21" s="10" t="s">
        <v>57</v>
      </c>
      <c r="B21" s="4" t="s">
        <v>463</v>
      </c>
      <c r="C21" s="3" t="s">
        <v>380</v>
      </c>
      <c r="D21" s="4" t="s">
        <v>446</v>
      </c>
      <c r="E21" s="11">
        <v>44282</v>
      </c>
      <c r="F21" s="4">
        <v>3</v>
      </c>
      <c r="G21" s="17">
        <v>800</v>
      </c>
      <c r="H21" s="17">
        <f t="shared" si="0"/>
        <v>2400</v>
      </c>
      <c r="I21" s="14" t="s">
        <v>498</v>
      </c>
      <c r="J21" s="1">
        <v>0.41666666666666669</v>
      </c>
      <c r="K21" s="10" t="s">
        <v>175</v>
      </c>
    </row>
    <row r="22" spans="1:11" x14ac:dyDescent="0.25">
      <c r="A22" s="10" t="s">
        <v>83</v>
      </c>
      <c r="B22" s="4" t="s">
        <v>463</v>
      </c>
      <c r="C22" s="3" t="s">
        <v>381</v>
      </c>
      <c r="D22" s="4" t="s">
        <v>447</v>
      </c>
      <c r="E22" s="11">
        <v>44278</v>
      </c>
      <c r="F22" s="4">
        <v>6</v>
      </c>
      <c r="G22" s="17">
        <v>1000</v>
      </c>
      <c r="H22" s="17">
        <f t="shared" si="0"/>
        <v>6000</v>
      </c>
      <c r="I22" s="14" t="s">
        <v>494</v>
      </c>
      <c r="J22" s="1">
        <v>0.45833333333333298</v>
      </c>
      <c r="K22" s="10" t="s">
        <v>176</v>
      </c>
    </row>
    <row r="23" spans="1:11" x14ac:dyDescent="0.25">
      <c r="A23" s="10" t="s">
        <v>115</v>
      </c>
      <c r="B23" s="4" t="s">
        <v>465</v>
      </c>
      <c r="C23" s="3" t="s">
        <v>380</v>
      </c>
      <c r="D23" s="4" t="s">
        <v>446</v>
      </c>
      <c r="E23" s="11">
        <v>44276</v>
      </c>
      <c r="F23" s="4">
        <v>3</v>
      </c>
      <c r="G23" s="17">
        <v>800</v>
      </c>
      <c r="H23" s="17">
        <f t="shared" si="0"/>
        <v>2400</v>
      </c>
      <c r="I23" s="14" t="s">
        <v>498</v>
      </c>
      <c r="J23" s="1">
        <v>0.58333333333333337</v>
      </c>
      <c r="K23" s="10" t="s">
        <v>175</v>
      </c>
    </row>
    <row r="24" spans="1:11" x14ac:dyDescent="0.25">
      <c r="A24" s="10" t="s">
        <v>99</v>
      </c>
      <c r="B24" s="4" t="s">
        <v>463</v>
      </c>
      <c r="C24" s="3" t="s">
        <v>387</v>
      </c>
      <c r="D24" s="4" t="s">
        <v>444</v>
      </c>
      <c r="E24" s="11">
        <v>44285</v>
      </c>
      <c r="F24" s="4">
        <v>9</v>
      </c>
      <c r="G24" s="17">
        <v>900</v>
      </c>
      <c r="H24" s="17">
        <f t="shared" si="0"/>
        <v>8100</v>
      </c>
      <c r="I24" s="14" t="s">
        <v>27</v>
      </c>
      <c r="J24" s="1">
        <v>0.33333333333333331</v>
      </c>
      <c r="K24" s="10" t="s">
        <v>170</v>
      </c>
    </row>
    <row r="25" spans="1:11" x14ac:dyDescent="0.25">
      <c r="A25" s="10" t="s">
        <v>51</v>
      </c>
      <c r="B25" s="4" t="s">
        <v>465</v>
      </c>
      <c r="C25" s="3" t="s">
        <v>395</v>
      </c>
      <c r="D25" s="4" t="s">
        <v>449</v>
      </c>
      <c r="E25" s="11">
        <v>44267</v>
      </c>
      <c r="F25" s="4">
        <v>9</v>
      </c>
      <c r="G25" s="17">
        <v>800</v>
      </c>
      <c r="H25" s="17">
        <f t="shared" si="0"/>
        <v>7200</v>
      </c>
      <c r="I25" s="14" t="s">
        <v>498</v>
      </c>
      <c r="J25" s="1">
        <v>0.375</v>
      </c>
      <c r="K25" s="10" t="s">
        <v>166</v>
      </c>
    </row>
    <row r="26" spans="1:11" x14ac:dyDescent="0.25">
      <c r="A26" s="10" t="s">
        <v>113</v>
      </c>
      <c r="B26" s="4" t="s">
        <v>463</v>
      </c>
      <c r="C26" s="3" t="s">
        <v>393</v>
      </c>
      <c r="D26" s="4" t="s">
        <v>439</v>
      </c>
      <c r="E26" s="11">
        <v>44270</v>
      </c>
      <c r="F26" s="4">
        <v>9</v>
      </c>
      <c r="G26" s="17">
        <v>800</v>
      </c>
      <c r="H26" s="17">
        <f t="shared" si="0"/>
        <v>7200</v>
      </c>
      <c r="I26" s="14" t="s">
        <v>490</v>
      </c>
      <c r="J26" s="1">
        <v>0.41666666666666669</v>
      </c>
      <c r="K26" s="10" t="s">
        <v>15</v>
      </c>
    </row>
    <row r="27" spans="1:11" x14ac:dyDescent="0.25">
      <c r="A27" s="10" t="s">
        <v>81</v>
      </c>
      <c r="B27" s="4" t="s">
        <v>463</v>
      </c>
      <c r="C27" s="3" t="s">
        <v>378</v>
      </c>
      <c r="D27" s="4" t="s">
        <v>452</v>
      </c>
      <c r="E27" s="11">
        <v>44273</v>
      </c>
      <c r="F27" s="4">
        <v>6</v>
      </c>
      <c r="G27" s="17">
        <v>700</v>
      </c>
      <c r="H27" s="17">
        <f t="shared" si="0"/>
        <v>4200</v>
      </c>
      <c r="I27" s="14" t="s">
        <v>500</v>
      </c>
      <c r="J27" s="1">
        <v>0.45833333333333331</v>
      </c>
      <c r="K27" s="10" t="s">
        <v>7</v>
      </c>
    </row>
    <row r="28" spans="1:11" x14ac:dyDescent="0.25">
      <c r="A28" s="10" t="s">
        <v>50</v>
      </c>
      <c r="B28" s="4" t="s">
        <v>462</v>
      </c>
      <c r="C28" s="3" t="s">
        <v>395</v>
      </c>
      <c r="D28" s="4" t="s">
        <v>449</v>
      </c>
      <c r="E28" s="11">
        <v>44274</v>
      </c>
      <c r="F28" s="4">
        <v>9</v>
      </c>
      <c r="G28" s="17">
        <v>800</v>
      </c>
      <c r="H28" s="17">
        <f t="shared" si="0"/>
        <v>7200</v>
      </c>
      <c r="I28" s="14" t="s">
        <v>28</v>
      </c>
      <c r="J28" s="1">
        <v>0.58333333333333337</v>
      </c>
      <c r="K28" s="10" t="s">
        <v>166</v>
      </c>
    </row>
    <row r="29" spans="1:11" x14ac:dyDescent="0.25">
      <c r="A29" s="10" t="s">
        <v>90</v>
      </c>
      <c r="B29" s="4" t="s">
        <v>463</v>
      </c>
      <c r="C29" s="3" t="s">
        <v>381</v>
      </c>
      <c r="D29" s="4" t="s">
        <v>447</v>
      </c>
      <c r="E29" s="11">
        <v>44275</v>
      </c>
      <c r="F29" s="4">
        <v>6</v>
      </c>
      <c r="G29" s="17">
        <v>1000</v>
      </c>
      <c r="H29" s="17">
        <f t="shared" si="0"/>
        <v>6000</v>
      </c>
      <c r="I29" s="14" t="s">
        <v>487</v>
      </c>
      <c r="J29" s="1">
        <v>0.58333333333333337</v>
      </c>
      <c r="K29" s="10" t="s">
        <v>176</v>
      </c>
    </row>
    <row r="30" spans="1:11" x14ac:dyDescent="0.25">
      <c r="A30" s="10" t="s">
        <v>112</v>
      </c>
      <c r="B30" s="4" t="s">
        <v>460</v>
      </c>
      <c r="C30" s="3" t="s">
        <v>376</v>
      </c>
      <c r="D30" s="4" t="s">
        <v>441</v>
      </c>
      <c r="E30" s="11">
        <v>44273</v>
      </c>
      <c r="F30" s="4">
        <v>6</v>
      </c>
      <c r="G30" s="17">
        <v>600</v>
      </c>
      <c r="H30" s="17">
        <f t="shared" si="0"/>
        <v>3600</v>
      </c>
      <c r="I30" s="14" t="s">
        <v>493</v>
      </c>
      <c r="J30" s="1">
        <v>0.625</v>
      </c>
      <c r="K30" s="10" t="s">
        <v>3</v>
      </c>
    </row>
    <row r="31" spans="1:11" x14ac:dyDescent="0.25">
      <c r="A31" s="10" t="s">
        <v>97</v>
      </c>
      <c r="B31" s="4" t="s">
        <v>465</v>
      </c>
      <c r="C31" s="3" t="s">
        <v>393</v>
      </c>
      <c r="D31" s="4" t="s">
        <v>439</v>
      </c>
      <c r="E31" s="11">
        <v>44277</v>
      </c>
      <c r="F31" s="4">
        <v>9</v>
      </c>
      <c r="G31" s="17">
        <v>800</v>
      </c>
      <c r="H31" s="17">
        <f t="shared" si="0"/>
        <v>7200</v>
      </c>
      <c r="I31" s="14" t="s">
        <v>492</v>
      </c>
      <c r="J31" s="1">
        <v>0.66666666666666663</v>
      </c>
      <c r="K31" s="10" t="s">
        <v>15</v>
      </c>
    </row>
    <row r="32" spans="1:11" x14ac:dyDescent="0.25">
      <c r="A32" s="10" t="s">
        <v>77</v>
      </c>
      <c r="B32" s="4" t="s">
        <v>462</v>
      </c>
      <c r="C32" s="3" t="s">
        <v>392</v>
      </c>
      <c r="D32" s="4" t="s">
        <v>438</v>
      </c>
      <c r="E32" s="11">
        <v>44270</v>
      </c>
      <c r="F32" s="4">
        <v>6</v>
      </c>
      <c r="G32" s="17">
        <v>700</v>
      </c>
      <c r="H32" s="17">
        <f t="shared" si="0"/>
        <v>4200</v>
      </c>
      <c r="I32" s="14" t="s">
        <v>496</v>
      </c>
      <c r="J32" s="1">
        <v>0.75</v>
      </c>
      <c r="K32" s="10" t="s">
        <v>11</v>
      </c>
    </row>
    <row r="33" spans="1:11" x14ac:dyDescent="0.25">
      <c r="A33" s="10" t="s">
        <v>134</v>
      </c>
      <c r="B33" s="4" t="s">
        <v>463</v>
      </c>
      <c r="C33" s="3" t="s">
        <v>387</v>
      </c>
      <c r="D33" s="4" t="s">
        <v>444</v>
      </c>
      <c r="E33" s="11">
        <v>44284</v>
      </c>
      <c r="F33" s="4">
        <v>9</v>
      </c>
      <c r="G33" s="17">
        <v>900</v>
      </c>
      <c r="H33" s="17">
        <f t="shared" si="0"/>
        <v>8100</v>
      </c>
      <c r="I33" s="14" t="s">
        <v>488</v>
      </c>
      <c r="J33" s="1">
        <v>0.79166666666666663</v>
      </c>
      <c r="K33" s="10" t="s">
        <v>170</v>
      </c>
    </row>
    <row r="34" spans="1:11" x14ac:dyDescent="0.25">
      <c r="A34" s="10" t="s">
        <v>56</v>
      </c>
      <c r="B34" s="4" t="s">
        <v>464</v>
      </c>
      <c r="C34" s="3" t="s">
        <v>387</v>
      </c>
      <c r="D34" s="4" t="s">
        <v>444</v>
      </c>
      <c r="E34" s="11">
        <v>44273</v>
      </c>
      <c r="F34" s="4">
        <v>9</v>
      </c>
      <c r="G34" s="17">
        <v>900</v>
      </c>
      <c r="H34" s="17">
        <f t="shared" si="0"/>
        <v>8100</v>
      </c>
      <c r="I34" s="14" t="s">
        <v>498</v>
      </c>
      <c r="J34" s="1">
        <v>0.33333333333333331</v>
      </c>
      <c r="K34" s="10" t="s">
        <v>170</v>
      </c>
    </row>
    <row r="35" spans="1:11" x14ac:dyDescent="0.25">
      <c r="A35" s="10" t="s">
        <v>114</v>
      </c>
      <c r="B35" s="4" t="s">
        <v>462</v>
      </c>
      <c r="C35" s="3" t="s">
        <v>394</v>
      </c>
      <c r="D35" s="4" t="s">
        <v>440</v>
      </c>
      <c r="E35" s="11">
        <v>44278</v>
      </c>
      <c r="F35" s="4">
        <v>9</v>
      </c>
      <c r="G35" s="17">
        <v>900</v>
      </c>
      <c r="H35" s="17">
        <f t="shared" si="0"/>
        <v>8100</v>
      </c>
      <c r="I35" s="14" t="s">
        <v>495</v>
      </c>
      <c r="J35" s="1">
        <v>0.375</v>
      </c>
      <c r="K35" s="10" t="s">
        <v>13</v>
      </c>
    </row>
    <row r="36" spans="1:11" x14ac:dyDescent="0.25">
      <c r="A36" s="10" t="s">
        <v>132</v>
      </c>
      <c r="B36" s="4" t="s">
        <v>460</v>
      </c>
      <c r="C36" s="3" t="s">
        <v>376</v>
      </c>
      <c r="D36" s="4" t="s">
        <v>441</v>
      </c>
      <c r="E36" s="11">
        <v>44271</v>
      </c>
      <c r="F36" s="4">
        <v>6</v>
      </c>
      <c r="G36" s="17">
        <v>600</v>
      </c>
      <c r="H36" s="17">
        <f t="shared" ref="H36:H67" si="1">F36*G36</f>
        <v>3600</v>
      </c>
      <c r="I36" s="14" t="s">
        <v>487</v>
      </c>
      <c r="J36" s="1">
        <v>0.41666666666666669</v>
      </c>
      <c r="K36" s="10" t="s">
        <v>3</v>
      </c>
    </row>
    <row r="37" spans="1:11" x14ac:dyDescent="0.25">
      <c r="A37" s="10" t="s">
        <v>82</v>
      </c>
      <c r="B37" s="4" t="s">
        <v>464</v>
      </c>
      <c r="C37" s="3" t="s">
        <v>393</v>
      </c>
      <c r="D37" s="4" t="s">
        <v>439</v>
      </c>
      <c r="E37" s="11">
        <v>44282</v>
      </c>
      <c r="F37" s="4">
        <v>9</v>
      </c>
      <c r="G37" s="17">
        <v>800</v>
      </c>
      <c r="H37" s="17">
        <f t="shared" si="1"/>
        <v>7200</v>
      </c>
      <c r="I37" s="14" t="s">
        <v>489</v>
      </c>
      <c r="J37" s="1">
        <v>0.45833333333333331</v>
      </c>
      <c r="K37" s="10" t="s">
        <v>15</v>
      </c>
    </row>
    <row r="38" spans="1:11" x14ac:dyDescent="0.25">
      <c r="A38" s="10" t="s">
        <v>55</v>
      </c>
      <c r="B38" s="4" t="s">
        <v>462</v>
      </c>
      <c r="C38" s="3" t="s">
        <v>382</v>
      </c>
      <c r="D38" s="4" t="s">
        <v>448</v>
      </c>
      <c r="E38" s="11">
        <v>44261</v>
      </c>
      <c r="F38" s="4">
        <v>9</v>
      </c>
      <c r="G38" s="17">
        <v>1200</v>
      </c>
      <c r="H38" s="17">
        <f t="shared" si="1"/>
        <v>10800</v>
      </c>
      <c r="I38" s="14" t="s">
        <v>495</v>
      </c>
      <c r="J38" s="1">
        <v>0.58333333333333337</v>
      </c>
      <c r="K38" s="10" t="s">
        <v>177</v>
      </c>
    </row>
    <row r="39" spans="1:11" x14ac:dyDescent="0.25">
      <c r="A39" s="10" t="s">
        <v>67</v>
      </c>
      <c r="B39" s="4" t="s">
        <v>464</v>
      </c>
      <c r="C39" s="3" t="s">
        <v>387</v>
      </c>
      <c r="D39" s="4" t="s">
        <v>444</v>
      </c>
      <c r="E39" s="11">
        <v>44276</v>
      </c>
      <c r="F39" s="4">
        <v>9</v>
      </c>
      <c r="G39" s="17">
        <v>900</v>
      </c>
      <c r="H39" s="17">
        <f t="shared" si="1"/>
        <v>8100</v>
      </c>
      <c r="I39" s="14" t="s">
        <v>489</v>
      </c>
      <c r="J39" s="1">
        <v>0.58333333333333337</v>
      </c>
      <c r="K39" s="10" t="s">
        <v>170</v>
      </c>
    </row>
    <row r="40" spans="1:11" x14ac:dyDescent="0.25">
      <c r="A40" s="10" t="s">
        <v>72</v>
      </c>
      <c r="B40" s="4" t="s">
        <v>462</v>
      </c>
      <c r="C40" s="3" t="s">
        <v>392</v>
      </c>
      <c r="D40" s="4" t="s">
        <v>438</v>
      </c>
      <c r="E40" s="11">
        <v>44269</v>
      </c>
      <c r="F40" s="4">
        <v>6</v>
      </c>
      <c r="G40" s="17">
        <v>700</v>
      </c>
      <c r="H40" s="17">
        <f t="shared" si="1"/>
        <v>4200</v>
      </c>
      <c r="I40" s="14" t="s">
        <v>499</v>
      </c>
      <c r="J40" s="1">
        <v>0.33333333333333331</v>
      </c>
      <c r="K40" s="10" t="s">
        <v>11</v>
      </c>
    </row>
    <row r="41" spans="1:11" x14ac:dyDescent="0.25">
      <c r="A41" s="10" t="s">
        <v>136</v>
      </c>
      <c r="B41" s="4" t="s">
        <v>463</v>
      </c>
      <c r="C41" s="3" t="s">
        <v>393</v>
      </c>
      <c r="D41" s="4" t="s">
        <v>439</v>
      </c>
      <c r="E41" s="11">
        <v>44262</v>
      </c>
      <c r="F41" s="4">
        <v>9</v>
      </c>
      <c r="G41" s="17">
        <v>800</v>
      </c>
      <c r="H41" s="17">
        <f t="shared" si="1"/>
        <v>7200</v>
      </c>
      <c r="I41" s="14" t="s">
        <v>485</v>
      </c>
      <c r="J41" s="1">
        <v>0.41666666666666669</v>
      </c>
      <c r="K41" s="10" t="s">
        <v>15</v>
      </c>
    </row>
    <row r="42" spans="1:11" x14ac:dyDescent="0.25">
      <c r="A42" s="10" t="s">
        <v>71</v>
      </c>
      <c r="B42" s="4" t="s">
        <v>463</v>
      </c>
      <c r="C42" s="3" t="s">
        <v>380</v>
      </c>
      <c r="D42" s="4" t="s">
        <v>446</v>
      </c>
      <c r="E42" s="11">
        <v>44270</v>
      </c>
      <c r="F42" s="4">
        <v>3</v>
      </c>
      <c r="G42" s="17">
        <v>800</v>
      </c>
      <c r="H42" s="17">
        <f t="shared" si="1"/>
        <v>2400</v>
      </c>
      <c r="I42" s="14" t="s">
        <v>28</v>
      </c>
      <c r="J42" s="1">
        <v>0.45833333333333331</v>
      </c>
      <c r="K42" s="10" t="s">
        <v>175</v>
      </c>
    </row>
    <row r="43" spans="1:11" x14ac:dyDescent="0.25">
      <c r="A43" s="10" t="s">
        <v>110</v>
      </c>
      <c r="B43" s="4" t="s">
        <v>462</v>
      </c>
      <c r="C43" s="3" t="s">
        <v>387</v>
      </c>
      <c r="D43" s="4" t="s">
        <v>444</v>
      </c>
      <c r="E43" s="11">
        <v>44285</v>
      </c>
      <c r="F43" s="4">
        <v>9</v>
      </c>
      <c r="G43" s="17">
        <v>900</v>
      </c>
      <c r="H43" s="17">
        <f t="shared" si="1"/>
        <v>8100</v>
      </c>
      <c r="I43" s="14" t="s">
        <v>492</v>
      </c>
      <c r="J43" s="1">
        <v>0.58333333333333337</v>
      </c>
      <c r="K43" s="10" t="s">
        <v>170</v>
      </c>
    </row>
    <row r="44" spans="1:11" x14ac:dyDescent="0.25">
      <c r="A44" s="10" t="s">
        <v>129</v>
      </c>
      <c r="B44" s="4" t="s">
        <v>462</v>
      </c>
      <c r="C44" s="3" t="s">
        <v>393</v>
      </c>
      <c r="D44" s="4" t="s">
        <v>439</v>
      </c>
      <c r="E44" s="11">
        <v>44286</v>
      </c>
      <c r="F44" s="4">
        <v>9</v>
      </c>
      <c r="G44" s="17">
        <v>800</v>
      </c>
      <c r="H44" s="17">
        <f t="shared" si="1"/>
        <v>7200</v>
      </c>
      <c r="I44" s="14" t="s">
        <v>493</v>
      </c>
      <c r="J44" s="1">
        <v>0.33333333333333331</v>
      </c>
      <c r="K44" s="10" t="s">
        <v>15</v>
      </c>
    </row>
    <row r="45" spans="1:11" x14ac:dyDescent="0.25">
      <c r="A45" s="10" t="s">
        <v>127</v>
      </c>
      <c r="B45" s="4" t="s">
        <v>463</v>
      </c>
      <c r="C45" s="3" t="s">
        <v>388</v>
      </c>
      <c r="D45" s="4" t="s">
        <v>445</v>
      </c>
      <c r="E45" s="11">
        <v>44259</v>
      </c>
      <c r="F45" s="4">
        <v>12</v>
      </c>
      <c r="G45" s="17">
        <v>1000</v>
      </c>
      <c r="H45" s="17">
        <f t="shared" si="1"/>
        <v>12000</v>
      </c>
      <c r="I45" s="14" t="s">
        <v>27</v>
      </c>
      <c r="J45" s="1">
        <v>0.375</v>
      </c>
      <c r="K45" s="10" t="s">
        <v>171</v>
      </c>
    </row>
    <row r="46" spans="1:11" x14ac:dyDescent="0.25">
      <c r="A46" s="10" t="s">
        <v>139</v>
      </c>
      <c r="B46" s="4" t="s">
        <v>462</v>
      </c>
      <c r="C46" s="3" t="s">
        <v>379</v>
      </c>
      <c r="D46" s="4" t="s">
        <v>453</v>
      </c>
      <c r="E46" s="11">
        <v>44261</v>
      </c>
      <c r="F46" s="4">
        <v>9</v>
      </c>
      <c r="G46" s="17">
        <v>800</v>
      </c>
      <c r="H46" s="17">
        <f t="shared" si="1"/>
        <v>7200</v>
      </c>
      <c r="I46" s="14" t="s">
        <v>496</v>
      </c>
      <c r="J46" s="1">
        <v>0.41666666666666669</v>
      </c>
      <c r="K46" s="10" t="s">
        <v>9</v>
      </c>
    </row>
    <row r="47" spans="1:11" x14ac:dyDescent="0.25">
      <c r="A47" s="10" t="s">
        <v>106</v>
      </c>
      <c r="B47" s="4" t="s">
        <v>465</v>
      </c>
      <c r="C47" s="3" t="s">
        <v>394</v>
      </c>
      <c r="D47" s="4" t="s">
        <v>440</v>
      </c>
      <c r="E47" s="11">
        <v>44286</v>
      </c>
      <c r="F47" s="4">
        <v>9</v>
      </c>
      <c r="G47" s="17">
        <v>900</v>
      </c>
      <c r="H47" s="17">
        <f t="shared" si="1"/>
        <v>8100</v>
      </c>
      <c r="I47" s="14" t="s">
        <v>498</v>
      </c>
      <c r="J47" s="1">
        <v>0.45833333333333331</v>
      </c>
      <c r="K47" s="10" t="s">
        <v>13</v>
      </c>
    </row>
    <row r="48" spans="1:11" x14ac:dyDescent="0.25">
      <c r="A48" s="10" t="s">
        <v>122</v>
      </c>
      <c r="B48" s="4" t="s">
        <v>461</v>
      </c>
      <c r="C48" s="3" t="s">
        <v>377</v>
      </c>
      <c r="D48" s="4" t="s">
        <v>442</v>
      </c>
      <c r="E48" s="11">
        <v>44276</v>
      </c>
      <c r="F48" s="4">
        <v>9</v>
      </c>
      <c r="G48" s="17">
        <v>700</v>
      </c>
      <c r="H48" s="17">
        <f t="shared" si="1"/>
        <v>6300</v>
      </c>
      <c r="I48" s="15" t="s">
        <v>490</v>
      </c>
      <c r="J48" s="2">
        <v>0.58333333333333337</v>
      </c>
      <c r="K48" s="10" t="s">
        <v>5</v>
      </c>
    </row>
    <row r="49" spans="1:11" x14ac:dyDescent="0.25">
      <c r="A49" s="10" t="s">
        <v>160</v>
      </c>
      <c r="B49" s="4" t="s">
        <v>461</v>
      </c>
      <c r="C49" s="3" t="s">
        <v>377</v>
      </c>
      <c r="D49" s="4" t="s">
        <v>442</v>
      </c>
      <c r="E49" s="11">
        <v>44286</v>
      </c>
      <c r="F49" s="4">
        <v>9</v>
      </c>
      <c r="G49" s="17">
        <v>700</v>
      </c>
      <c r="H49" s="17">
        <f t="shared" si="1"/>
        <v>6300</v>
      </c>
      <c r="I49" s="14" t="s">
        <v>494</v>
      </c>
      <c r="J49" s="1">
        <v>0.33333333333333331</v>
      </c>
      <c r="K49" s="10" t="s">
        <v>5</v>
      </c>
    </row>
    <row r="50" spans="1:11" x14ac:dyDescent="0.25">
      <c r="A50" s="10" t="s">
        <v>42</v>
      </c>
      <c r="B50" s="4" t="s">
        <v>463</v>
      </c>
      <c r="C50" s="3" t="s">
        <v>394</v>
      </c>
      <c r="D50" s="4" t="s">
        <v>440</v>
      </c>
      <c r="E50" s="11">
        <v>44277</v>
      </c>
      <c r="F50" s="4">
        <v>9</v>
      </c>
      <c r="G50" s="17">
        <v>900</v>
      </c>
      <c r="H50" s="17">
        <f t="shared" si="1"/>
        <v>8100</v>
      </c>
      <c r="I50" s="14" t="s">
        <v>485</v>
      </c>
      <c r="J50" s="1">
        <v>0.41666666666666669</v>
      </c>
      <c r="K50" s="10" t="s">
        <v>13</v>
      </c>
    </row>
    <row r="51" spans="1:11" x14ac:dyDescent="0.25">
      <c r="A51" s="10" t="s">
        <v>95</v>
      </c>
      <c r="B51" s="4" t="s">
        <v>461</v>
      </c>
      <c r="C51" s="3" t="s">
        <v>376</v>
      </c>
      <c r="D51" s="4" t="s">
        <v>441</v>
      </c>
      <c r="E51" s="11">
        <v>44272</v>
      </c>
      <c r="F51" s="4">
        <v>6</v>
      </c>
      <c r="G51" s="17">
        <v>600</v>
      </c>
      <c r="H51" s="17">
        <f t="shared" si="1"/>
        <v>3600</v>
      </c>
      <c r="I51" s="14" t="s">
        <v>26</v>
      </c>
      <c r="J51" s="1">
        <v>0.45833333333333331</v>
      </c>
      <c r="K51" s="10" t="s">
        <v>3</v>
      </c>
    </row>
    <row r="52" spans="1:11" x14ac:dyDescent="0.25">
      <c r="A52" s="10" t="s">
        <v>434</v>
      </c>
      <c r="B52" s="4" t="s">
        <v>463</v>
      </c>
      <c r="C52" s="3" t="s">
        <v>394</v>
      </c>
      <c r="D52" s="4" t="s">
        <v>440</v>
      </c>
      <c r="E52" s="11">
        <v>44262</v>
      </c>
      <c r="F52" s="4">
        <v>9</v>
      </c>
      <c r="G52" s="17">
        <v>900</v>
      </c>
      <c r="H52" s="17">
        <f t="shared" si="1"/>
        <v>8100</v>
      </c>
      <c r="I52" s="14" t="s">
        <v>486</v>
      </c>
      <c r="J52" s="1">
        <v>0.58333333333333337</v>
      </c>
      <c r="K52" s="10" t="s">
        <v>13</v>
      </c>
    </row>
    <row r="53" spans="1:11" x14ac:dyDescent="0.25">
      <c r="A53" s="10" t="s">
        <v>161</v>
      </c>
      <c r="B53" s="4" t="s">
        <v>462</v>
      </c>
      <c r="C53" s="3" t="s">
        <v>397</v>
      </c>
      <c r="D53" s="4" t="s">
        <v>451</v>
      </c>
      <c r="E53" s="11">
        <v>44282</v>
      </c>
      <c r="F53" s="4">
        <v>12</v>
      </c>
      <c r="G53" s="17">
        <v>1000</v>
      </c>
      <c r="H53" s="17">
        <f t="shared" si="1"/>
        <v>12000</v>
      </c>
      <c r="I53" s="14" t="s">
        <v>495</v>
      </c>
      <c r="J53" s="1">
        <v>0.41666666666666669</v>
      </c>
      <c r="K53" s="10" t="s">
        <v>168</v>
      </c>
    </row>
    <row r="54" spans="1:11" x14ac:dyDescent="0.25">
      <c r="A54" s="10" t="s">
        <v>52</v>
      </c>
      <c r="B54" s="4" t="s">
        <v>463</v>
      </c>
      <c r="C54" s="3" t="s">
        <v>383</v>
      </c>
      <c r="D54" s="4" t="s">
        <v>454</v>
      </c>
      <c r="E54" s="11">
        <v>44280</v>
      </c>
      <c r="F54" s="4">
        <v>3</v>
      </c>
      <c r="G54" s="17">
        <v>800</v>
      </c>
      <c r="H54" s="17">
        <f t="shared" si="1"/>
        <v>2400</v>
      </c>
      <c r="I54" s="14" t="s">
        <v>500</v>
      </c>
      <c r="J54" s="1">
        <v>0.45833333333333331</v>
      </c>
      <c r="K54" s="10" t="s">
        <v>172</v>
      </c>
    </row>
    <row r="55" spans="1:11" x14ac:dyDescent="0.25">
      <c r="A55" s="10" t="s">
        <v>144</v>
      </c>
      <c r="B55" s="4" t="s">
        <v>462</v>
      </c>
      <c r="C55" s="3" t="s">
        <v>383</v>
      </c>
      <c r="D55" s="4" t="s">
        <v>454</v>
      </c>
      <c r="E55" s="11">
        <v>44282</v>
      </c>
      <c r="F55" s="4">
        <v>3</v>
      </c>
      <c r="G55" s="17">
        <v>800</v>
      </c>
      <c r="H55" s="17">
        <f t="shared" si="1"/>
        <v>2400</v>
      </c>
      <c r="I55" s="14" t="s">
        <v>496</v>
      </c>
      <c r="J55" s="2">
        <v>0.58333333333333337</v>
      </c>
      <c r="K55" s="10" t="s">
        <v>172</v>
      </c>
    </row>
    <row r="56" spans="1:11" x14ac:dyDescent="0.25">
      <c r="A56" s="10" t="s">
        <v>63</v>
      </c>
      <c r="B56" s="4" t="s">
        <v>463</v>
      </c>
      <c r="C56" s="3" t="s">
        <v>380</v>
      </c>
      <c r="D56" s="4" t="s">
        <v>446</v>
      </c>
      <c r="E56" s="11">
        <v>44284</v>
      </c>
      <c r="F56" s="4">
        <v>3</v>
      </c>
      <c r="G56" s="17">
        <v>800</v>
      </c>
      <c r="H56" s="17">
        <f t="shared" si="1"/>
        <v>2400</v>
      </c>
      <c r="I56" s="14" t="s">
        <v>489</v>
      </c>
      <c r="J56" s="1">
        <v>0.33333333333333331</v>
      </c>
      <c r="K56" s="10" t="s">
        <v>175</v>
      </c>
    </row>
    <row r="57" spans="1:11" x14ac:dyDescent="0.25">
      <c r="A57" s="10" t="s">
        <v>54</v>
      </c>
      <c r="B57" s="4" t="s">
        <v>465</v>
      </c>
      <c r="C57" s="3" t="s">
        <v>392</v>
      </c>
      <c r="D57" s="4" t="s">
        <v>438</v>
      </c>
      <c r="E57" s="11">
        <v>44272</v>
      </c>
      <c r="F57" s="4">
        <v>6</v>
      </c>
      <c r="G57" s="17">
        <v>700</v>
      </c>
      <c r="H57" s="17">
        <f t="shared" si="1"/>
        <v>4200</v>
      </c>
      <c r="I57" s="14" t="s">
        <v>492</v>
      </c>
      <c r="J57" s="1">
        <v>0.41666666666666669</v>
      </c>
      <c r="K57" s="10" t="s">
        <v>11</v>
      </c>
    </row>
    <row r="58" spans="1:11" x14ac:dyDescent="0.25">
      <c r="A58" s="10" t="s">
        <v>58</v>
      </c>
      <c r="B58" s="4" t="s">
        <v>463</v>
      </c>
      <c r="C58" s="3" t="s">
        <v>397</v>
      </c>
      <c r="D58" s="4" t="s">
        <v>451</v>
      </c>
      <c r="E58" s="11">
        <v>44260</v>
      </c>
      <c r="F58" s="4">
        <v>12</v>
      </c>
      <c r="G58" s="17">
        <v>1000</v>
      </c>
      <c r="H58" s="17">
        <f t="shared" si="1"/>
        <v>12000</v>
      </c>
      <c r="I58" s="14" t="s">
        <v>485</v>
      </c>
      <c r="J58" s="1">
        <v>0.45833333333333331</v>
      </c>
      <c r="K58" s="10" t="s">
        <v>168</v>
      </c>
    </row>
    <row r="59" spans="1:11" x14ac:dyDescent="0.25">
      <c r="A59" s="10" t="s">
        <v>59</v>
      </c>
      <c r="B59" s="4" t="s">
        <v>462</v>
      </c>
      <c r="C59" s="3" t="s">
        <v>394</v>
      </c>
      <c r="D59" s="4" t="s">
        <v>440</v>
      </c>
      <c r="E59" s="11">
        <v>44276</v>
      </c>
      <c r="F59" s="4">
        <v>9</v>
      </c>
      <c r="G59" s="17">
        <v>900</v>
      </c>
      <c r="H59" s="17">
        <f t="shared" si="1"/>
        <v>8100</v>
      </c>
      <c r="I59" s="14" t="s">
        <v>491</v>
      </c>
      <c r="J59" s="1">
        <v>0.58333333333333337</v>
      </c>
      <c r="K59" s="10" t="s">
        <v>13</v>
      </c>
    </row>
    <row r="60" spans="1:11" x14ac:dyDescent="0.25">
      <c r="A60" s="10" t="s">
        <v>137</v>
      </c>
      <c r="B60" s="4" t="s">
        <v>464</v>
      </c>
      <c r="C60" s="3" t="s">
        <v>382</v>
      </c>
      <c r="D60" s="4" t="s">
        <v>448</v>
      </c>
      <c r="E60" s="11">
        <v>44282</v>
      </c>
      <c r="F60" s="4">
        <v>9</v>
      </c>
      <c r="G60" s="17">
        <v>1200</v>
      </c>
      <c r="H60" s="17">
        <f t="shared" si="1"/>
        <v>10800</v>
      </c>
      <c r="I60" s="14" t="s">
        <v>28</v>
      </c>
      <c r="J60" s="1">
        <v>0.33333333333333331</v>
      </c>
      <c r="K60" s="10" t="s">
        <v>177</v>
      </c>
    </row>
    <row r="61" spans="1:11" x14ac:dyDescent="0.25">
      <c r="A61" s="10" t="s">
        <v>60</v>
      </c>
      <c r="B61" s="4" t="s">
        <v>463</v>
      </c>
      <c r="C61" s="3" t="s">
        <v>388</v>
      </c>
      <c r="D61" s="4" t="s">
        <v>445</v>
      </c>
      <c r="E61" s="11">
        <v>44256</v>
      </c>
      <c r="F61" s="4">
        <v>12</v>
      </c>
      <c r="G61" s="17">
        <v>1000</v>
      </c>
      <c r="H61" s="17">
        <f t="shared" si="1"/>
        <v>12000</v>
      </c>
      <c r="I61" s="14" t="s">
        <v>485</v>
      </c>
      <c r="J61" s="1">
        <v>0.41666666666666669</v>
      </c>
      <c r="K61" s="10" t="s">
        <v>171</v>
      </c>
    </row>
    <row r="62" spans="1:11" x14ac:dyDescent="0.25">
      <c r="A62" s="10" t="s">
        <v>68</v>
      </c>
      <c r="B62" s="4" t="s">
        <v>460</v>
      </c>
      <c r="C62" s="3" t="s">
        <v>376</v>
      </c>
      <c r="D62" s="4" t="s">
        <v>441</v>
      </c>
      <c r="E62" s="11">
        <v>44265</v>
      </c>
      <c r="F62" s="4">
        <v>6</v>
      </c>
      <c r="G62" s="17">
        <v>600</v>
      </c>
      <c r="H62" s="17">
        <f t="shared" si="1"/>
        <v>3600</v>
      </c>
      <c r="I62" s="14" t="s">
        <v>492</v>
      </c>
      <c r="J62" s="1">
        <v>0.45833333333333331</v>
      </c>
      <c r="K62" s="10" t="s">
        <v>3</v>
      </c>
    </row>
    <row r="63" spans="1:11" x14ac:dyDescent="0.25">
      <c r="A63" s="10" t="s">
        <v>53</v>
      </c>
      <c r="B63" s="4" t="s">
        <v>463</v>
      </c>
      <c r="C63" s="3" t="s">
        <v>387</v>
      </c>
      <c r="D63" s="4" t="s">
        <v>444</v>
      </c>
      <c r="E63" s="11">
        <v>44280</v>
      </c>
      <c r="F63" s="4">
        <v>9</v>
      </c>
      <c r="G63" s="17">
        <v>900</v>
      </c>
      <c r="H63" s="17">
        <f t="shared" si="1"/>
        <v>8100</v>
      </c>
      <c r="I63" s="14" t="s">
        <v>487</v>
      </c>
      <c r="J63" s="1">
        <v>0.58333333333333337</v>
      </c>
      <c r="K63" s="10" t="s">
        <v>170</v>
      </c>
    </row>
    <row r="64" spans="1:11" x14ac:dyDescent="0.25">
      <c r="A64" s="10" t="s">
        <v>108</v>
      </c>
      <c r="B64" s="4" t="s">
        <v>463</v>
      </c>
      <c r="C64" s="3" t="s">
        <v>380</v>
      </c>
      <c r="D64" s="4" t="s">
        <v>446</v>
      </c>
      <c r="E64" s="11">
        <v>44286</v>
      </c>
      <c r="F64" s="4">
        <v>3</v>
      </c>
      <c r="G64" s="17">
        <v>800</v>
      </c>
      <c r="H64" s="17">
        <f t="shared" si="1"/>
        <v>2400</v>
      </c>
      <c r="I64" s="14" t="s">
        <v>495</v>
      </c>
      <c r="J64" s="1">
        <v>0.33333333333333331</v>
      </c>
      <c r="K64" s="10" t="s">
        <v>175</v>
      </c>
    </row>
    <row r="65" spans="1:11" x14ac:dyDescent="0.25">
      <c r="A65" s="10" t="s">
        <v>118</v>
      </c>
      <c r="B65" s="4" t="s">
        <v>465</v>
      </c>
      <c r="C65" s="3" t="s">
        <v>379</v>
      </c>
      <c r="D65" s="4" t="s">
        <v>453</v>
      </c>
      <c r="E65" s="11">
        <v>44274</v>
      </c>
      <c r="F65" s="4">
        <v>9</v>
      </c>
      <c r="G65" s="17">
        <v>800</v>
      </c>
      <c r="H65" s="17">
        <f t="shared" si="1"/>
        <v>7200</v>
      </c>
      <c r="I65" s="14" t="s">
        <v>27</v>
      </c>
      <c r="J65" s="1">
        <v>0.375</v>
      </c>
      <c r="K65" s="10" t="s">
        <v>9</v>
      </c>
    </row>
    <row r="66" spans="1:11" x14ac:dyDescent="0.25">
      <c r="A66" s="10" t="s">
        <v>119</v>
      </c>
      <c r="B66" s="4" t="s">
        <v>463</v>
      </c>
      <c r="C66" s="3" t="s">
        <v>387</v>
      </c>
      <c r="D66" s="4" t="s">
        <v>444</v>
      </c>
      <c r="E66" s="11">
        <v>44266</v>
      </c>
      <c r="F66" s="4">
        <v>9</v>
      </c>
      <c r="G66" s="17">
        <v>900</v>
      </c>
      <c r="H66" s="17">
        <f t="shared" si="1"/>
        <v>8100</v>
      </c>
      <c r="I66" s="14" t="s">
        <v>487</v>
      </c>
      <c r="J66" s="1">
        <v>0.41666666666666669</v>
      </c>
      <c r="K66" s="10" t="s">
        <v>170</v>
      </c>
    </row>
    <row r="67" spans="1:11" x14ac:dyDescent="0.25">
      <c r="A67" s="10" t="s">
        <v>87</v>
      </c>
      <c r="B67" s="4" t="s">
        <v>463</v>
      </c>
      <c r="C67" s="3" t="s">
        <v>381</v>
      </c>
      <c r="D67" s="4" t="s">
        <v>447</v>
      </c>
      <c r="E67" s="11">
        <v>44261</v>
      </c>
      <c r="F67" s="4">
        <v>6</v>
      </c>
      <c r="G67" s="17">
        <v>1000</v>
      </c>
      <c r="H67" s="17">
        <f t="shared" si="1"/>
        <v>6000</v>
      </c>
      <c r="I67" s="14" t="s">
        <v>497</v>
      </c>
      <c r="J67" s="1">
        <v>0.45833333333333331</v>
      </c>
      <c r="K67" s="10" t="s">
        <v>176</v>
      </c>
    </row>
    <row r="68" spans="1:11" x14ac:dyDescent="0.25">
      <c r="A68" s="10" t="s">
        <v>75</v>
      </c>
      <c r="B68" s="4" t="s">
        <v>463</v>
      </c>
      <c r="C68" s="3" t="s">
        <v>379</v>
      </c>
      <c r="D68" s="4" t="s">
        <v>453</v>
      </c>
      <c r="E68" s="11">
        <v>44282</v>
      </c>
      <c r="F68" s="4">
        <v>9</v>
      </c>
      <c r="G68" s="17">
        <v>800</v>
      </c>
      <c r="H68" s="17">
        <f t="shared" ref="H68:H99" si="2">F68*G68</f>
        <v>7200</v>
      </c>
      <c r="I68" s="14" t="s">
        <v>26</v>
      </c>
      <c r="J68" s="1">
        <v>0.58333333333333337</v>
      </c>
      <c r="K68" s="10" t="s">
        <v>9</v>
      </c>
    </row>
    <row r="69" spans="1:11" x14ac:dyDescent="0.25">
      <c r="A69" s="10" t="s">
        <v>41</v>
      </c>
      <c r="B69" s="4" t="s">
        <v>465</v>
      </c>
      <c r="C69" s="3" t="s">
        <v>380</v>
      </c>
      <c r="D69" s="4" t="s">
        <v>446</v>
      </c>
      <c r="E69" s="11">
        <v>44285</v>
      </c>
      <c r="F69" s="4">
        <v>3</v>
      </c>
      <c r="G69" s="17">
        <v>800</v>
      </c>
      <c r="H69" s="17">
        <f t="shared" si="2"/>
        <v>2400</v>
      </c>
      <c r="I69" s="14" t="s">
        <v>499</v>
      </c>
      <c r="J69" s="1">
        <v>0.33333333333333331</v>
      </c>
      <c r="K69" s="10" t="s">
        <v>175</v>
      </c>
    </row>
    <row r="70" spans="1:11" x14ac:dyDescent="0.25">
      <c r="A70" s="10" t="s">
        <v>46</v>
      </c>
      <c r="B70" s="4" t="s">
        <v>462</v>
      </c>
      <c r="C70" s="3" t="s">
        <v>380</v>
      </c>
      <c r="D70" s="4" t="s">
        <v>446</v>
      </c>
      <c r="E70" s="11">
        <v>44270</v>
      </c>
      <c r="F70" s="4">
        <v>3</v>
      </c>
      <c r="G70" s="17">
        <v>800</v>
      </c>
      <c r="H70" s="17">
        <f t="shared" si="2"/>
        <v>2400</v>
      </c>
      <c r="I70" s="14" t="s">
        <v>26</v>
      </c>
      <c r="J70" s="1">
        <v>0.375</v>
      </c>
      <c r="K70" s="10" t="s">
        <v>175</v>
      </c>
    </row>
    <row r="71" spans="1:11" x14ac:dyDescent="0.25">
      <c r="A71" s="10" t="s">
        <v>76</v>
      </c>
      <c r="B71" s="4" t="s">
        <v>460</v>
      </c>
      <c r="C71" s="3" t="s">
        <v>376</v>
      </c>
      <c r="D71" s="4" t="s">
        <v>441</v>
      </c>
      <c r="E71" s="11">
        <v>44263</v>
      </c>
      <c r="F71" s="4">
        <v>6</v>
      </c>
      <c r="G71" s="17">
        <v>600</v>
      </c>
      <c r="H71" s="17">
        <f t="shared" si="2"/>
        <v>3600</v>
      </c>
      <c r="I71" s="14" t="s">
        <v>489</v>
      </c>
      <c r="J71" s="1">
        <v>0.625</v>
      </c>
      <c r="K71" s="10" t="s">
        <v>3</v>
      </c>
    </row>
    <row r="72" spans="1:11" x14ac:dyDescent="0.25">
      <c r="A72" s="10" t="s">
        <v>74</v>
      </c>
      <c r="B72" s="4" t="s">
        <v>463</v>
      </c>
      <c r="C72" s="3" t="s">
        <v>394</v>
      </c>
      <c r="D72" s="4" t="s">
        <v>440</v>
      </c>
      <c r="E72" s="11">
        <v>44268</v>
      </c>
      <c r="F72" s="4">
        <v>9</v>
      </c>
      <c r="G72" s="17">
        <v>900</v>
      </c>
      <c r="H72" s="17">
        <f t="shared" si="2"/>
        <v>8100</v>
      </c>
      <c r="I72" s="14" t="s">
        <v>496</v>
      </c>
      <c r="J72" s="1">
        <v>0.66666666666666663</v>
      </c>
      <c r="K72" s="10" t="s">
        <v>13</v>
      </c>
    </row>
    <row r="73" spans="1:11" x14ac:dyDescent="0.25">
      <c r="A73" s="10" t="s">
        <v>80</v>
      </c>
      <c r="B73" s="4" t="s">
        <v>463</v>
      </c>
      <c r="C73" s="3" t="s">
        <v>382</v>
      </c>
      <c r="D73" s="4" t="s">
        <v>448</v>
      </c>
      <c r="E73" s="11">
        <v>44264</v>
      </c>
      <c r="F73" s="4">
        <v>9</v>
      </c>
      <c r="G73" s="17">
        <v>1200</v>
      </c>
      <c r="H73" s="17">
        <f t="shared" si="2"/>
        <v>10800</v>
      </c>
      <c r="I73" s="14" t="s">
        <v>496</v>
      </c>
      <c r="J73" s="1">
        <v>0.75</v>
      </c>
      <c r="K73" s="10" t="s">
        <v>177</v>
      </c>
    </row>
    <row r="74" spans="1:11" x14ac:dyDescent="0.25">
      <c r="A74" s="10" t="s">
        <v>124</v>
      </c>
      <c r="B74" s="4" t="s">
        <v>462</v>
      </c>
      <c r="C74" s="3" t="s">
        <v>395</v>
      </c>
      <c r="D74" s="4" t="s">
        <v>449</v>
      </c>
      <c r="E74" s="11">
        <v>44257</v>
      </c>
      <c r="F74" s="4">
        <v>9</v>
      </c>
      <c r="G74" s="17">
        <v>800</v>
      </c>
      <c r="H74" s="17">
        <f t="shared" si="2"/>
        <v>7200</v>
      </c>
      <c r="I74" s="14" t="s">
        <v>487</v>
      </c>
      <c r="J74" s="1">
        <v>0.79166666666666663</v>
      </c>
      <c r="K74" s="10" t="s">
        <v>166</v>
      </c>
    </row>
    <row r="75" spans="1:11" x14ac:dyDescent="0.25">
      <c r="A75" s="10" t="s">
        <v>146</v>
      </c>
      <c r="B75" s="4" t="s">
        <v>462</v>
      </c>
      <c r="C75" s="3" t="s">
        <v>388</v>
      </c>
      <c r="D75" s="4" t="s">
        <v>445</v>
      </c>
      <c r="E75" s="11">
        <v>44281</v>
      </c>
      <c r="F75" s="4">
        <v>12</v>
      </c>
      <c r="G75" s="17">
        <v>1000</v>
      </c>
      <c r="H75" s="17">
        <f t="shared" si="2"/>
        <v>12000</v>
      </c>
      <c r="I75" s="14" t="s">
        <v>492</v>
      </c>
      <c r="J75" s="1">
        <v>0.33333333333333331</v>
      </c>
      <c r="K75" s="10" t="s">
        <v>171</v>
      </c>
    </row>
    <row r="76" spans="1:11" x14ac:dyDescent="0.25">
      <c r="A76" s="10" t="s">
        <v>94</v>
      </c>
      <c r="B76" s="4" t="s">
        <v>462</v>
      </c>
      <c r="C76" s="3" t="s">
        <v>392</v>
      </c>
      <c r="D76" s="4" t="s">
        <v>438</v>
      </c>
      <c r="E76" s="11">
        <v>44284</v>
      </c>
      <c r="F76" s="4">
        <v>6</v>
      </c>
      <c r="G76" s="17">
        <v>700</v>
      </c>
      <c r="H76" s="17">
        <f t="shared" si="2"/>
        <v>4200</v>
      </c>
      <c r="I76" s="14" t="s">
        <v>490</v>
      </c>
      <c r="J76" s="1">
        <v>0.375</v>
      </c>
      <c r="K76" s="10" t="s">
        <v>11</v>
      </c>
    </row>
    <row r="77" spans="1:11" x14ac:dyDescent="0.25">
      <c r="A77" s="10" t="s">
        <v>45</v>
      </c>
      <c r="B77" s="4" t="s">
        <v>463</v>
      </c>
      <c r="C77" s="3" t="s">
        <v>378</v>
      </c>
      <c r="D77" s="4" t="s">
        <v>452</v>
      </c>
      <c r="E77" s="11">
        <v>44280</v>
      </c>
      <c r="F77" s="4">
        <v>6</v>
      </c>
      <c r="G77" s="17">
        <v>700</v>
      </c>
      <c r="H77" s="17">
        <f t="shared" si="2"/>
        <v>4200</v>
      </c>
      <c r="I77" s="14" t="s">
        <v>488</v>
      </c>
      <c r="J77" s="1">
        <v>0.41666666666666669</v>
      </c>
      <c r="K77" s="10" t="s">
        <v>7</v>
      </c>
    </row>
    <row r="78" spans="1:11" x14ac:dyDescent="0.25">
      <c r="A78" s="10" t="s">
        <v>70</v>
      </c>
      <c r="B78" s="4" t="s">
        <v>463</v>
      </c>
      <c r="C78" s="3" t="s">
        <v>387</v>
      </c>
      <c r="D78" s="4" t="s">
        <v>444</v>
      </c>
      <c r="E78" s="11">
        <v>44278</v>
      </c>
      <c r="F78" s="4">
        <v>9</v>
      </c>
      <c r="G78" s="17">
        <v>900</v>
      </c>
      <c r="H78" s="17">
        <f t="shared" si="2"/>
        <v>8100</v>
      </c>
      <c r="I78" s="14" t="s">
        <v>496</v>
      </c>
      <c r="J78" s="1">
        <v>0.45833333333333331</v>
      </c>
      <c r="K78" s="10" t="s">
        <v>170</v>
      </c>
    </row>
    <row r="79" spans="1:11" x14ac:dyDescent="0.25">
      <c r="A79" s="10" t="s">
        <v>61</v>
      </c>
      <c r="B79" s="4" t="s">
        <v>463</v>
      </c>
      <c r="C79" s="3" t="s">
        <v>387</v>
      </c>
      <c r="D79" s="4" t="s">
        <v>444</v>
      </c>
      <c r="E79" s="11">
        <v>44280</v>
      </c>
      <c r="F79" s="4">
        <v>9</v>
      </c>
      <c r="G79" s="17">
        <v>900</v>
      </c>
      <c r="H79" s="17">
        <f t="shared" si="2"/>
        <v>8100</v>
      </c>
      <c r="I79" s="14" t="s">
        <v>494</v>
      </c>
      <c r="J79" s="1">
        <v>0.58333333333333337</v>
      </c>
      <c r="K79" s="10" t="s">
        <v>170</v>
      </c>
    </row>
    <row r="80" spans="1:11" x14ac:dyDescent="0.25">
      <c r="A80" s="10" t="s">
        <v>69</v>
      </c>
      <c r="B80" s="4" t="s">
        <v>463</v>
      </c>
      <c r="C80" s="3" t="s">
        <v>386</v>
      </c>
      <c r="D80" s="4" t="s">
        <v>443</v>
      </c>
      <c r="E80" s="11">
        <v>44278</v>
      </c>
      <c r="F80" s="4">
        <v>6</v>
      </c>
      <c r="G80" s="17">
        <v>800</v>
      </c>
      <c r="H80" s="17">
        <f t="shared" si="2"/>
        <v>4800</v>
      </c>
      <c r="I80" s="14" t="s">
        <v>28</v>
      </c>
      <c r="J80" s="1">
        <v>0.58333333333333337</v>
      </c>
      <c r="K80" s="10" t="s">
        <v>169</v>
      </c>
    </row>
    <row r="81" spans="1:11" x14ac:dyDescent="0.25">
      <c r="A81" s="10" t="s">
        <v>150</v>
      </c>
      <c r="B81" s="4" t="s">
        <v>465</v>
      </c>
      <c r="C81" s="3" t="s">
        <v>378</v>
      </c>
      <c r="D81" s="4" t="s">
        <v>452</v>
      </c>
      <c r="E81" s="11">
        <v>44281</v>
      </c>
      <c r="F81" s="4">
        <v>6</v>
      </c>
      <c r="G81" s="17">
        <v>700</v>
      </c>
      <c r="H81" s="17">
        <f t="shared" si="2"/>
        <v>4200</v>
      </c>
      <c r="I81" s="14" t="s">
        <v>485</v>
      </c>
      <c r="J81" s="1">
        <v>0.33333333333333331</v>
      </c>
      <c r="K81" s="10" t="s">
        <v>7</v>
      </c>
    </row>
    <row r="82" spans="1:11" x14ac:dyDescent="0.25">
      <c r="A82" s="10" t="s">
        <v>142</v>
      </c>
      <c r="B82" s="4" t="s">
        <v>462</v>
      </c>
      <c r="C82" s="3" t="s">
        <v>386</v>
      </c>
      <c r="D82" s="4" t="s">
        <v>443</v>
      </c>
      <c r="E82" s="11">
        <v>44262</v>
      </c>
      <c r="F82" s="4">
        <v>6</v>
      </c>
      <c r="G82" s="17">
        <v>800</v>
      </c>
      <c r="H82" s="17">
        <f t="shared" si="2"/>
        <v>4800</v>
      </c>
      <c r="I82" s="14" t="s">
        <v>487</v>
      </c>
      <c r="J82" s="1">
        <v>0.41666666666666669</v>
      </c>
      <c r="K82" s="10" t="s">
        <v>169</v>
      </c>
    </row>
    <row r="83" spans="1:11" x14ac:dyDescent="0.25">
      <c r="A83" s="10" t="s">
        <v>78</v>
      </c>
      <c r="B83" s="4" t="s">
        <v>463</v>
      </c>
      <c r="C83" s="3" t="s">
        <v>392</v>
      </c>
      <c r="D83" s="4" t="s">
        <v>438</v>
      </c>
      <c r="E83" s="11">
        <v>44277</v>
      </c>
      <c r="F83" s="4">
        <v>6</v>
      </c>
      <c r="G83" s="17">
        <v>700</v>
      </c>
      <c r="H83" s="17">
        <f t="shared" si="2"/>
        <v>4200</v>
      </c>
      <c r="I83" s="14" t="s">
        <v>486</v>
      </c>
      <c r="J83" s="1">
        <v>0.45833333333333331</v>
      </c>
      <c r="K83" s="10" t="s">
        <v>11</v>
      </c>
    </row>
    <row r="84" spans="1:11" x14ac:dyDescent="0.25">
      <c r="A84" s="10" t="s">
        <v>130</v>
      </c>
      <c r="B84" s="4" t="s">
        <v>461</v>
      </c>
      <c r="C84" s="3" t="s">
        <v>377</v>
      </c>
      <c r="D84" s="4" t="s">
        <v>442</v>
      </c>
      <c r="E84" s="11">
        <v>44277</v>
      </c>
      <c r="F84" s="4">
        <v>9</v>
      </c>
      <c r="G84" s="17">
        <v>700</v>
      </c>
      <c r="H84" s="17">
        <f t="shared" si="2"/>
        <v>6300</v>
      </c>
      <c r="I84" s="14" t="s">
        <v>487</v>
      </c>
      <c r="J84" s="1">
        <v>0.58333333333333337</v>
      </c>
      <c r="K84" s="10" t="s">
        <v>5</v>
      </c>
    </row>
    <row r="85" spans="1:11" x14ac:dyDescent="0.25">
      <c r="A85" s="10" t="s">
        <v>154</v>
      </c>
      <c r="B85" s="4" t="s">
        <v>465</v>
      </c>
      <c r="C85" s="3" t="s">
        <v>396</v>
      </c>
      <c r="D85" s="4" t="s">
        <v>450</v>
      </c>
      <c r="E85" s="11">
        <v>44270</v>
      </c>
      <c r="F85" s="4">
        <v>12</v>
      </c>
      <c r="G85" s="17">
        <v>900</v>
      </c>
      <c r="H85" s="17">
        <f t="shared" si="2"/>
        <v>10800</v>
      </c>
      <c r="I85" s="14" t="s">
        <v>492</v>
      </c>
      <c r="J85" s="1">
        <v>0.33333333333333331</v>
      </c>
      <c r="K85" s="10" t="s">
        <v>167</v>
      </c>
    </row>
    <row r="86" spans="1:11" x14ac:dyDescent="0.25">
      <c r="A86" s="10" t="s">
        <v>138</v>
      </c>
      <c r="B86" s="4" t="s">
        <v>463</v>
      </c>
      <c r="C86" s="3" t="s">
        <v>395</v>
      </c>
      <c r="D86" s="4" t="s">
        <v>449</v>
      </c>
      <c r="E86" s="11">
        <v>44262</v>
      </c>
      <c r="F86" s="4">
        <v>9</v>
      </c>
      <c r="G86" s="17">
        <v>800</v>
      </c>
      <c r="H86" s="17">
        <f t="shared" si="2"/>
        <v>7200</v>
      </c>
      <c r="I86" s="14" t="s">
        <v>498</v>
      </c>
      <c r="J86" s="1">
        <v>0.375</v>
      </c>
      <c r="K86" s="10" t="s">
        <v>166</v>
      </c>
    </row>
    <row r="87" spans="1:11" x14ac:dyDescent="0.25">
      <c r="A87" s="10" t="s">
        <v>117</v>
      </c>
      <c r="B87" s="4" t="s">
        <v>463</v>
      </c>
      <c r="C87" s="3" t="s">
        <v>382</v>
      </c>
      <c r="D87" s="4" t="s">
        <v>448</v>
      </c>
      <c r="E87" s="11">
        <v>44263</v>
      </c>
      <c r="F87" s="4">
        <v>9</v>
      </c>
      <c r="G87" s="17">
        <v>1200</v>
      </c>
      <c r="H87" s="17">
        <f t="shared" si="2"/>
        <v>10800</v>
      </c>
      <c r="I87" s="14" t="s">
        <v>490</v>
      </c>
      <c r="J87" s="1">
        <v>0.41666666666666669</v>
      </c>
      <c r="K87" s="10" t="s">
        <v>177</v>
      </c>
    </row>
    <row r="88" spans="1:11" x14ac:dyDescent="0.25">
      <c r="A88" s="10" t="s">
        <v>105</v>
      </c>
      <c r="B88" s="4" t="s">
        <v>463</v>
      </c>
      <c r="C88" s="3" t="s">
        <v>394</v>
      </c>
      <c r="D88" s="4" t="s">
        <v>440</v>
      </c>
      <c r="E88" s="11">
        <v>44278</v>
      </c>
      <c r="F88" s="4">
        <v>9</v>
      </c>
      <c r="G88" s="17">
        <v>900</v>
      </c>
      <c r="H88" s="17">
        <f t="shared" si="2"/>
        <v>8100</v>
      </c>
      <c r="I88" s="14" t="s">
        <v>27</v>
      </c>
      <c r="J88" s="1">
        <v>0.45833333333333331</v>
      </c>
      <c r="K88" s="10" t="s">
        <v>13</v>
      </c>
    </row>
    <row r="89" spans="1:11" x14ac:dyDescent="0.25">
      <c r="A89" s="10" t="s">
        <v>48</v>
      </c>
      <c r="B89" s="4" t="s">
        <v>462</v>
      </c>
      <c r="C89" s="3" t="s">
        <v>381</v>
      </c>
      <c r="D89" s="4" t="s">
        <v>447</v>
      </c>
      <c r="E89" s="11">
        <v>44274</v>
      </c>
      <c r="F89" s="4">
        <v>6</v>
      </c>
      <c r="G89" s="17">
        <v>1000</v>
      </c>
      <c r="H89" s="17">
        <f t="shared" si="2"/>
        <v>6000</v>
      </c>
      <c r="I89" s="14" t="s">
        <v>484</v>
      </c>
      <c r="J89" s="2">
        <v>0.58333333333333337</v>
      </c>
      <c r="K89" s="10" t="s">
        <v>176</v>
      </c>
    </row>
    <row r="90" spans="1:11" x14ac:dyDescent="0.25">
      <c r="A90" s="10" t="s">
        <v>40</v>
      </c>
      <c r="B90" s="4" t="s">
        <v>463</v>
      </c>
      <c r="C90" s="3" t="s">
        <v>378</v>
      </c>
      <c r="D90" s="4" t="s">
        <v>452</v>
      </c>
      <c r="E90" s="11">
        <v>44283</v>
      </c>
      <c r="F90" s="4">
        <v>6</v>
      </c>
      <c r="G90" s="17">
        <v>700</v>
      </c>
      <c r="H90" s="17">
        <f t="shared" si="2"/>
        <v>4200</v>
      </c>
      <c r="I90" s="14" t="s">
        <v>486</v>
      </c>
      <c r="J90" s="1">
        <v>0.33333333333333331</v>
      </c>
      <c r="K90" s="10" t="s">
        <v>7</v>
      </c>
    </row>
    <row r="91" spans="1:11" x14ac:dyDescent="0.25">
      <c r="A91" s="10" t="s">
        <v>126</v>
      </c>
      <c r="B91" s="4" t="s">
        <v>465</v>
      </c>
      <c r="C91" s="3" t="s">
        <v>380</v>
      </c>
      <c r="D91" s="4" t="s">
        <v>446</v>
      </c>
      <c r="E91" s="11">
        <v>44286</v>
      </c>
      <c r="F91" s="4">
        <v>3</v>
      </c>
      <c r="G91" s="17">
        <v>800</v>
      </c>
      <c r="H91" s="17">
        <f t="shared" si="2"/>
        <v>2400</v>
      </c>
      <c r="I91" s="14" t="s">
        <v>496</v>
      </c>
      <c r="J91" s="1">
        <v>0.41666666666666669</v>
      </c>
      <c r="K91" s="10" t="s">
        <v>175</v>
      </c>
    </row>
    <row r="92" spans="1:11" x14ac:dyDescent="0.25">
      <c r="A92" s="10" t="s">
        <v>149</v>
      </c>
      <c r="B92" s="4" t="s">
        <v>463</v>
      </c>
      <c r="C92" s="3" t="s">
        <v>396</v>
      </c>
      <c r="D92" s="4" t="s">
        <v>450</v>
      </c>
      <c r="E92" s="11">
        <v>44278</v>
      </c>
      <c r="F92" s="4">
        <v>12</v>
      </c>
      <c r="G92" s="17">
        <v>900</v>
      </c>
      <c r="H92" s="17">
        <f t="shared" si="2"/>
        <v>10800</v>
      </c>
      <c r="I92" s="14" t="s">
        <v>492</v>
      </c>
      <c r="J92" s="1">
        <v>0.45833333333333331</v>
      </c>
      <c r="K92" s="10" t="s">
        <v>167</v>
      </c>
    </row>
    <row r="93" spans="1:11" x14ac:dyDescent="0.25">
      <c r="A93" s="10" t="s">
        <v>91</v>
      </c>
      <c r="B93" s="4" t="s">
        <v>462</v>
      </c>
      <c r="C93" s="3" t="s">
        <v>396</v>
      </c>
      <c r="D93" s="4" t="s">
        <v>450</v>
      </c>
      <c r="E93" s="11">
        <v>44273</v>
      </c>
      <c r="F93" s="4">
        <v>12</v>
      </c>
      <c r="G93" s="17">
        <v>900</v>
      </c>
      <c r="H93" s="17">
        <f t="shared" si="2"/>
        <v>10800</v>
      </c>
      <c r="I93" s="14" t="s">
        <v>494</v>
      </c>
      <c r="J93" s="1">
        <v>0.58333333333333337</v>
      </c>
      <c r="K93" s="10" t="s">
        <v>167</v>
      </c>
    </row>
    <row r="94" spans="1:11" x14ac:dyDescent="0.25">
      <c r="A94" s="10" t="s">
        <v>37</v>
      </c>
      <c r="B94" s="4" t="s">
        <v>462</v>
      </c>
      <c r="C94" s="3" t="s">
        <v>397</v>
      </c>
      <c r="D94" s="4" t="s">
        <v>451</v>
      </c>
      <c r="E94" s="11">
        <v>44259</v>
      </c>
      <c r="F94" s="4">
        <v>12</v>
      </c>
      <c r="G94" s="17">
        <v>1000</v>
      </c>
      <c r="H94" s="17">
        <f t="shared" si="2"/>
        <v>12000</v>
      </c>
      <c r="I94" s="14" t="s">
        <v>492</v>
      </c>
      <c r="J94" s="1">
        <v>0.33333333333333331</v>
      </c>
      <c r="K94" s="10" t="s">
        <v>168</v>
      </c>
    </row>
    <row r="95" spans="1:11" x14ac:dyDescent="0.25">
      <c r="A95" s="10" t="s">
        <v>103</v>
      </c>
      <c r="B95" s="4" t="s">
        <v>463</v>
      </c>
      <c r="C95" s="3" t="s">
        <v>380</v>
      </c>
      <c r="D95" s="4" t="s">
        <v>446</v>
      </c>
      <c r="E95" s="11">
        <v>44258</v>
      </c>
      <c r="F95" s="4">
        <v>3</v>
      </c>
      <c r="G95" s="17">
        <v>800</v>
      </c>
      <c r="H95" s="17">
        <f t="shared" si="2"/>
        <v>2400</v>
      </c>
      <c r="I95" s="14" t="s">
        <v>491</v>
      </c>
      <c r="J95" s="1">
        <v>0.375</v>
      </c>
      <c r="K95" s="10" t="s">
        <v>175</v>
      </c>
    </row>
    <row r="96" spans="1:11" x14ac:dyDescent="0.25">
      <c r="A96" s="10" t="s">
        <v>123</v>
      </c>
      <c r="B96" s="4" t="s">
        <v>463</v>
      </c>
      <c r="C96" s="3" t="s">
        <v>379</v>
      </c>
      <c r="D96" s="4" t="s">
        <v>453</v>
      </c>
      <c r="E96" s="11">
        <v>44257</v>
      </c>
      <c r="F96" s="4">
        <v>9</v>
      </c>
      <c r="G96" s="17">
        <v>800</v>
      </c>
      <c r="H96" s="17">
        <f t="shared" si="2"/>
        <v>7200</v>
      </c>
      <c r="I96" s="14" t="s">
        <v>488</v>
      </c>
      <c r="J96" s="1">
        <v>0.41666666666666669</v>
      </c>
      <c r="K96" s="10" t="s">
        <v>9</v>
      </c>
    </row>
    <row r="97" spans="1:11" x14ac:dyDescent="0.25">
      <c r="A97" s="10" t="s">
        <v>148</v>
      </c>
      <c r="B97" s="4" t="s">
        <v>463</v>
      </c>
      <c r="C97" s="3" t="s">
        <v>378</v>
      </c>
      <c r="D97" s="4" t="s">
        <v>452</v>
      </c>
      <c r="E97" s="11">
        <v>44269</v>
      </c>
      <c r="F97" s="4">
        <v>6</v>
      </c>
      <c r="G97" s="17">
        <v>700</v>
      </c>
      <c r="H97" s="17">
        <f t="shared" si="2"/>
        <v>4200</v>
      </c>
      <c r="I97" s="14" t="s">
        <v>486</v>
      </c>
      <c r="J97" s="1">
        <v>0.45833333333333331</v>
      </c>
      <c r="K97" s="10" t="s">
        <v>7</v>
      </c>
    </row>
    <row r="98" spans="1:11" x14ac:dyDescent="0.25">
      <c r="A98" s="10" t="s">
        <v>62</v>
      </c>
      <c r="B98" s="4" t="s">
        <v>463</v>
      </c>
      <c r="C98" s="3" t="s">
        <v>379</v>
      </c>
      <c r="D98" s="4" t="s">
        <v>453</v>
      </c>
      <c r="E98" s="11">
        <v>44268</v>
      </c>
      <c r="F98" s="4">
        <v>9</v>
      </c>
      <c r="G98" s="17">
        <v>800</v>
      </c>
      <c r="H98" s="17">
        <f t="shared" si="2"/>
        <v>7200</v>
      </c>
      <c r="I98" s="14" t="s">
        <v>28</v>
      </c>
      <c r="J98" s="1">
        <v>0.58333333333333337</v>
      </c>
      <c r="K98" s="10" t="s">
        <v>9</v>
      </c>
    </row>
    <row r="99" spans="1:11" x14ac:dyDescent="0.25">
      <c r="A99" s="10" t="s">
        <v>125</v>
      </c>
      <c r="B99" s="4" t="s">
        <v>463</v>
      </c>
      <c r="C99" s="3" t="s">
        <v>396</v>
      </c>
      <c r="D99" s="4" t="s">
        <v>450</v>
      </c>
      <c r="E99" s="11">
        <v>44271</v>
      </c>
      <c r="F99" s="4">
        <v>12</v>
      </c>
      <c r="G99" s="17">
        <v>900</v>
      </c>
      <c r="H99" s="17">
        <f t="shared" si="2"/>
        <v>10800</v>
      </c>
      <c r="I99" s="14" t="s">
        <v>488</v>
      </c>
      <c r="J99" s="1">
        <v>0.33333333333333331</v>
      </c>
      <c r="K99" s="10" t="s">
        <v>167</v>
      </c>
    </row>
    <row r="100" spans="1:11" x14ac:dyDescent="0.25">
      <c r="A100" s="10" t="s">
        <v>104</v>
      </c>
      <c r="B100" s="4" t="s">
        <v>461</v>
      </c>
      <c r="C100" s="3" t="s">
        <v>376</v>
      </c>
      <c r="D100" s="4" t="s">
        <v>441</v>
      </c>
      <c r="E100" s="11">
        <v>44258</v>
      </c>
      <c r="F100" s="4">
        <v>6</v>
      </c>
      <c r="G100" s="17">
        <v>600</v>
      </c>
      <c r="H100" s="17">
        <f t="shared" ref="H100:H131" si="3">F100*G100</f>
        <v>3600</v>
      </c>
      <c r="I100" s="14" t="s">
        <v>28</v>
      </c>
      <c r="J100" s="1">
        <v>0.375</v>
      </c>
      <c r="K100" s="10" t="s">
        <v>3</v>
      </c>
    </row>
    <row r="101" spans="1:11" x14ac:dyDescent="0.25">
      <c r="A101" s="10" t="s">
        <v>101</v>
      </c>
      <c r="B101" s="4" t="s">
        <v>463</v>
      </c>
      <c r="C101" s="3" t="s">
        <v>393</v>
      </c>
      <c r="D101" s="4" t="s">
        <v>439</v>
      </c>
      <c r="E101" s="11">
        <v>44280</v>
      </c>
      <c r="F101" s="4">
        <v>9</v>
      </c>
      <c r="G101" s="17">
        <v>800</v>
      </c>
      <c r="H101" s="17">
        <f t="shared" si="3"/>
        <v>7200</v>
      </c>
      <c r="I101" s="14" t="s">
        <v>495</v>
      </c>
      <c r="J101" s="1">
        <v>0.41666666666666669</v>
      </c>
      <c r="K101" s="10" t="s">
        <v>15</v>
      </c>
    </row>
    <row r="102" spans="1:11" x14ac:dyDescent="0.25">
      <c r="A102" s="10" t="s">
        <v>120</v>
      </c>
      <c r="B102" s="4" t="s">
        <v>466</v>
      </c>
      <c r="C102" s="3" t="s">
        <v>378</v>
      </c>
      <c r="D102" s="4" t="s">
        <v>452</v>
      </c>
      <c r="E102" s="11">
        <v>44285</v>
      </c>
      <c r="F102" s="4">
        <v>6</v>
      </c>
      <c r="G102" s="17">
        <v>700</v>
      </c>
      <c r="H102" s="17">
        <f t="shared" si="3"/>
        <v>4200</v>
      </c>
      <c r="I102" s="14" t="s">
        <v>500</v>
      </c>
      <c r="J102" s="1">
        <v>0.45833333333333331</v>
      </c>
      <c r="K102" s="10" t="s">
        <v>7</v>
      </c>
    </row>
    <row r="103" spans="1:11" x14ac:dyDescent="0.25">
      <c r="A103" s="10" t="s">
        <v>158</v>
      </c>
      <c r="B103" s="4" t="s">
        <v>462</v>
      </c>
      <c r="C103" s="3" t="s">
        <v>387</v>
      </c>
      <c r="D103" s="4" t="s">
        <v>444</v>
      </c>
      <c r="E103" s="11">
        <v>44283</v>
      </c>
      <c r="F103" s="4">
        <v>9</v>
      </c>
      <c r="G103" s="17">
        <v>900</v>
      </c>
      <c r="H103" s="17">
        <f t="shared" si="3"/>
        <v>8100</v>
      </c>
      <c r="I103" s="14" t="s">
        <v>487</v>
      </c>
      <c r="J103" s="1">
        <v>0.58333333333333337</v>
      </c>
      <c r="K103" s="10" t="s">
        <v>170</v>
      </c>
    </row>
    <row r="104" spans="1:11" x14ac:dyDescent="0.25">
      <c r="A104" s="10" t="s">
        <v>153</v>
      </c>
      <c r="B104" s="4" t="s">
        <v>463</v>
      </c>
      <c r="C104" s="3" t="s">
        <v>386</v>
      </c>
      <c r="D104" s="4" t="s">
        <v>443</v>
      </c>
      <c r="E104" s="11">
        <v>44273</v>
      </c>
      <c r="F104" s="4">
        <v>6</v>
      </c>
      <c r="G104" s="17">
        <v>800</v>
      </c>
      <c r="H104" s="17">
        <f t="shared" si="3"/>
        <v>4800</v>
      </c>
      <c r="I104" s="14" t="s">
        <v>495</v>
      </c>
      <c r="J104" s="1">
        <v>0.58333333333333337</v>
      </c>
      <c r="K104" s="10" t="s">
        <v>169</v>
      </c>
    </row>
    <row r="105" spans="1:11" x14ac:dyDescent="0.25">
      <c r="A105" s="10" t="s">
        <v>375</v>
      </c>
      <c r="B105" s="4" t="s">
        <v>463</v>
      </c>
      <c r="C105" s="3" t="s">
        <v>378</v>
      </c>
      <c r="D105" s="4" t="s">
        <v>452</v>
      </c>
      <c r="E105" s="11">
        <v>44274</v>
      </c>
      <c r="F105" s="4">
        <v>6</v>
      </c>
      <c r="G105" s="17">
        <v>700</v>
      </c>
      <c r="H105" s="17">
        <f t="shared" si="3"/>
        <v>4200</v>
      </c>
      <c r="I105" s="14" t="s">
        <v>485</v>
      </c>
      <c r="J105" s="1">
        <v>0.625</v>
      </c>
      <c r="K105" s="10" t="s">
        <v>7</v>
      </c>
    </row>
    <row r="106" spans="1:11" x14ac:dyDescent="0.25">
      <c r="A106" s="10" t="s">
        <v>155</v>
      </c>
      <c r="B106" s="4" t="s">
        <v>465</v>
      </c>
      <c r="C106" s="3" t="s">
        <v>395</v>
      </c>
      <c r="D106" s="4" t="s">
        <v>449</v>
      </c>
      <c r="E106" s="11">
        <v>44271</v>
      </c>
      <c r="F106" s="4">
        <v>9</v>
      </c>
      <c r="G106" s="17">
        <v>800</v>
      </c>
      <c r="H106" s="17">
        <f t="shared" si="3"/>
        <v>7200</v>
      </c>
      <c r="I106" s="14" t="s">
        <v>489</v>
      </c>
      <c r="J106" s="1">
        <v>0.41666666666666669</v>
      </c>
      <c r="K106" s="10" t="s">
        <v>166</v>
      </c>
    </row>
    <row r="107" spans="1:11" x14ac:dyDescent="0.25">
      <c r="A107" s="10" t="s">
        <v>145</v>
      </c>
      <c r="B107" s="4" t="s">
        <v>463</v>
      </c>
      <c r="C107" s="3" t="s">
        <v>394</v>
      </c>
      <c r="D107" s="4" t="s">
        <v>440</v>
      </c>
      <c r="E107" s="11">
        <v>44280</v>
      </c>
      <c r="F107" s="4">
        <v>9</v>
      </c>
      <c r="G107" s="17">
        <v>900</v>
      </c>
      <c r="H107" s="17">
        <f t="shared" si="3"/>
        <v>8100</v>
      </c>
      <c r="I107" s="14" t="s">
        <v>496</v>
      </c>
      <c r="J107" s="1">
        <v>0.45833333333333331</v>
      </c>
      <c r="K107" s="10" t="s">
        <v>13</v>
      </c>
    </row>
    <row r="108" spans="1:11" x14ac:dyDescent="0.25">
      <c r="A108" s="10" t="s">
        <v>88</v>
      </c>
      <c r="B108" s="4" t="s">
        <v>464</v>
      </c>
      <c r="C108" s="3" t="s">
        <v>396</v>
      </c>
      <c r="D108" s="4" t="s">
        <v>450</v>
      </c>
      <c r="E108" s="11">
        <v>44260</v>
      </c>
      <c r="F108" s="4">
        <v>12</v>
      </c>
      <c r="G108" s="17">
        <v>900</v>
      </c>
      <c r="H108" s="17">
        <f t="shared" si="3"/>
        <v>10800</v>
      </c>
      <c r="I108" s="14" t="s">
        <v>486</v>
      </c>
      <c r="J108" s="2">
        <v>0.58333333333333337</v>
      </c>
      <c r="K108" s="10" t="s">
        <v>167</v>
      </c>
    </row>
    <row r="109" spans="1:11" x14ac:dyDescent="0.25">
      <c r="A109" s="10" t="s">
        <v>39</v>
      </c>
      <c r="B109" s="4" t="s">
        <v>463</v>
      </c>
      <c r="C109" s="3" t="s">
        <v>395</v>
      </c>
      <c r="D109" s="4" t="s">
        <v>449</v>
      </c>
      <c r="E109" s="11">
        <v>44260</v>
      </c>
      <c r="F109" s="4">
        <v>9</v>
      </c>
      <c r="G109" s="17">
        <v>800</v>
      </c>
      <c r="H109" s="17">
        <f t="shared" si="3"/>
        <v>7200</v>
      </c>
      <c r="I109" s="14" t="s">
        <v>493</v>
      </c>
      <c r="J109" s="1">
        <v>0.33333333333333331</v>
      </c>
      <c r="K109" s="10" t="s">
        <v>166</v>
      </c>
    </row>
    <row r="110" spans="1:11" x14ac:dyDescent="0.25">
      <c r="A110" s="10" t="s">
        <v>86</v>
      </c>
      <c r="B110" s="4" t="s">
        <v>460</v>
      </c>
      <c r="C110" s="3" t="s">
        <v>376</v>
      </c>
      <c r="D110" s="4" t="s">
        <v>441</v>
      </c>
      <c r="E110" s="11">
        <v>44271</v>
      </c>
      <c r="F110" s="4">
        <v>6</v>
      </c>
      <c r="G110" s="17">
        <v>600</v>
      </c>
      <c r="H110" s="17">
        <f t="shared" si="3"/>
        <v>3600</v>
      </c>
      <c r="I110" s="14" t="s">
        <v>490</v>
      </c>
      <c r="J110" s="1">
        <v>0.41666666666666669</v>
      </c>
      <c r="K110" s="10" t="s">
        <v>3</v>
      </c>
    </row>
    <row r="111" spans="1:11" x14ac:dyDescent="0.25">
      <c r="A111" s="10" t="s">
        <v>151</v>
      </c>
      <c r="B111" s="4" t="s">
        <v>463</v>
      </c>
      <c r="C111" s="3" t="s">
        <v>393</v>
      </c>
      <c r="D111" s="4" t="s">
        <v>439</v>
      </c>
      <c r="E111" s="11">
        <v>44267</v>
      </c>
      <c r="F111" s="4">
        <v>9</v>
      </c>
      <c r="G111" s="17">
        <v>800</v>
      </c>
      <c r="H111" s="17">
        <f t="shared" si="3"/>
        <v>7200</v>
      </c>
      <c r="I111" s="14" t="s">
        <v>489</v>
      </c>
      <c r="J111" s="1">
        <v>0.45833333333333331</v>
      </c>
      <c r="K111" s="10" t="s">
        <v>15</v>
      </c>
    </row>
    <row r="112" spans="1:11" x14ac:dyDescent="0.25">
      <c r="A112" s="10" t="s">
        <v>93</v>
      </c>
      <c r="B112" s="4" t="s">
        <v>463</v>
      </c>
      <c r="C112" s="3" t="s">
        <v>397</v>
      </c>
      <c r="D112" s="4" t="s">
        <v>451</v>
      </c>
      <c r="E112" s="11">
        <v>44265</v>
      </c>
      <c r="F112" s="4">
        <v>12</v>
      </c>
      <c r="G112" s="17">
        <v>1000</v>
      </c>
      <c r="H112" s="17">
        <f t="shared" si="3"/>
        <v>12000</v>
      </c>
      <c r="I112" s="14" t="s">
        <v>485</v>
      </c>
      <c r="J112" s="1">
        <v>0.58333333333333337</v>
      </c>
      <c r="K112" s="10" t="s">
        <v>168</v>
      </c>
    </row>
    <row r="113" spans="1:11" x14ac:dyDescent="0.25">
      <c r="A113" s="10" t="s">
        <v>159</v>
      </c>
      <c r="B113" s="4" t="s">
        <v>462</v>
      </c>
      <c r="C113" s="3" t="s">
        <v>379</v>
      </c>
      <c r="D113" s="4" t="s">
        <v>453</v>
      </c>
      <c r="E113" s="11">
        <v>44274</v>
      </c>
      <c r="F113" s="4">
        <v>9</v>
      </c>
      <c r="G113" s="17">
        <v>800</v>
      </c>
      <c r="H113" s="17">
        <f t="shared" si="3"/>
        <v>7200</v>
      </c>
      <c r="I113" s="14" t="s">
        <v>500</v>
      </c>
      <c r="J113" s="1">
        <v>0.33333333333333331</v>
      </c>
      <c r="K113" s="10" t="s">
        <v>9</v>
      </c>
    </row>
    <row r="114" spans="1:11" x14ac:dyDescent="0.25">
      <c r="A114" s="10" t="s">
        <v>49</v>
      </c>
      <c r="B114" s="4" t="s">
        <v>462</v>
      </c>
      <c r="C114" s="3" t="s">
        <v>386</v>
      </c>
      <c r="D114" s="4" t="s">
        <v>443</v>
      </c>
      <c r="E114" s="11">
        <v>44264</v>
      </c>
      <c r="F114" s="4">
        <v>6</v>
      </c>
      <c r="G114" s="17">
        <v>800</v>
      </c>
      <c r="H114" s="17">
        <f t="shared" si="3"/>
        <v>4800</v>
      </c>
      <c r="I114" s="14" t="s">
        <v>497</v>
      </c>
      <c r="J114" s="1">
        <v>0.375</v>
      </c>
      <c r="K114" s="10" t="s">
        <v>169</v>
      </c>
    </row>
    <row r="115" spans="1:11" x14ac:dyDescent="0.25">
      <c r="A115" s="10" t="s">
        <v>111</v>
      </c>
      <c r="B115" s="4" t="s">
        <v>464</v>
      </c>
      <c r="C115" s="3" t="s">
        <v>378</v>
      </c>
      <c r="D115" s="4" t="s">
        <v>452</v>
      </c>
      <c r="E115" s="11">
        <v>44272</v>
      </c>
      <c r="F115" s="4">
        <v>6</v>
      </c>
      <c r="G115" s="17">
        <v>700</v>
      </c>
      <c r="H115" s="17">
        <f t="shared" si="3"/>
        <v>4200</v>
      </c>
      <c r="I115" s="14" t="s">
        <v>499</v>
      </c>
      <c r="J115" s="1">
        <v>0.41666666666666669</v>
      </c>
      <c r="K115" s="10" t="s">
        <v>7</v>
      </c>
    </row>
    <row r="116" spans="1:11" x14ac:dyDescent="0.25">
      <c r="A116" s="10" t="s">
        <v>156</v>
      </c>
      <c r="B116" s="4" t="s">
        <v>463</v>
      </c>
      <c r="C116" s="3" t="s">
        <v>388</v>
      </c>
      <c r="D116" s="4" t="s">
        <v>445</v>
      </c>
      <c r="E116" s="11">
        <v>44261</v>
      </c>
      <c r="F116" s="4">
        <v>12</v>
      </c>
      <c r="G116" s="17">
        <v>1000</v>
      </c>
      <c r="H116" s="17">
        <f t="shared" si="3"/>
        <v>12000</v>
      </c>
      <c r="I116" s="14" t="s">
        <v>26</v>
      </c>
      <c r="J116" s="1">
        <v>0.45833333333333331</v>
      </c>
      <c r="K116" s="10" t="s">
        <v>171</v>
      </c>
    </row>
    <row r="117" spans="1:11" x14ac:dyDescent="0.25">
      <c r="A117" s="10" t="s">
        <v>128</v>
      </c>
      <c r="B117" s="4" t="s">
        <v>463</v>
      </c>
      <c r="C117" s="3" t="s">
        <v>386</v>
      </c>
      <c r="D117" s="4" t="s">
        <v>443</v>
      </c>
      <c r="E117" s="11">
        <v>44270</v>
      </c>
      <c r="F117" s="4">
        <v>6</v>
      </c>
      <c r="G117" s="17">
        <v>800</v>
      </c>
      <c r="H117" s="17">
        <f t="shared" si="3"/>
        <v>4800</v>
      </c>
      <c r="I117" s="15" t="s">
        <v>485</v>
      </c>
      <c r="J117" s="1">
        <v>0.58333333333333337</v>
      </c>
      <c r="K117" s="10" t="s">
        <v>169</v>
      </c>
    </row>
    <row r="118" spans="1:11" x14ac:dyDescent="0.25">
      <c r="A118" s="10" t="s">
        <v>38</v>
      </c>
      <c r="B118" s="4" t="s">
        <v>466</v>
      </c>
      <c r="C118" s="3" t="s">
        <v>379</v>
      </c>
      <c r="D118" s="4" t="s">
        <v>453</v>
      </c>
      <c r="E118" s="11">
        <v>44284</v>
      </c>
      <c r="F118" s="4">
        <v>9</v>
      </c>
      <c r="G118" s="17">
        <v>800</v>
      </c>
      <c r="H118" s="17">
        <f t="shared" si="3"/>
        <v>7200</v>
      </c>
      <c r="I118" s="14" t="s">
        <v>496</v>
      </c>
      <c r="J118" s="1">
        <v>0.33333333333333331</v>
      </c>
      <c r="K118" s="10" t="s">
        <v>9</v>
      </c>
    </row>
    <row r="119" spans="1:11" x14ac:dyDescent="0.25">
      <c r="A119" s="10" t="s">
        <v>64</v>
      </c>
      <c r="B119" s="4" t="s">
        <v>462</v>
      </c>
      <c r="C119" s="3" t="s">
        <v>381</v>
      </c>
      <c r="D119" s="4" t="s">
        <v>447</v>
      </c>
      <c r="E119" s="11">
        <v>44257</v>
      </c>
      <c r="F119" s="4">
        <v>6</v>
      </c>
      <c r="G119" s="17">
        <v>1000</v>
      </c>
      <c r="H119" s="17">
        <f t="shared" si="3"/>
        <v>6000</v>
      </c>
      <c r="I119" s="14" t="s">
        <v>489</v>
      </c>
      <c r="J119" s="1">
        <v>0.375</v>
      </c>
      <c r="K119" s="10" t="s">
        <v>176</v>
      </c>
    </row>
    <row r="120" spans="1:11" x14ac:dyDescent="0.25">
      <c r="A120" s="10" t="s">
        <v>73</v>
      </c>
      <c r="B120" s="4" t="s">
        <v>464</v>
      </c>
      <c r="C120" s="3" t="s">
        <v>396</v>
      </c>
      <c r="D120" s="4" t="s">
        <v>450</v>
      </c>
      <c r="E120" s="11">
        <v>44268</v>
      </c>
      <c r="F120" s="4">
        <v>12</v>
      </c>
      <c r="G120" s="17">
        <v>900</v>
      </c>
      <c r="H120" s="17">
        <f t="shared" si="3"/>
        <v>10800</v>
      </c>
      <c r="I120" s="14" t="s">
        <v>27</v>
      </c>
      <c r="J120" s="1">
        <v>0.41666666666666669</v>
      </c>
      <c r="K120" s="10" t="s">
        <v>167</v>
      </c>
    </row>
    <row r="121" spans="1:11" x14ac:dyDescent="0.25">
      <c r="A121" s="10" t="s">
        <v>44</v>
      </c>
      <c r="B121" s="4" t="s">
        <v>462</v>
      </c>
      <c r="C121" s="3" t="s">
        <v>393</v>
      </c>
      <c r="D121" s="4" t="s">
        <v>439</v>
      </c>
      <c r="E121" s="11">
        <v>44273</v>
      </c>
      <c r="F121" s="4">
        <v>9</v>
      </c>
      <c r="G121" s="17">
        <v>800</v>
      </c>
      <c r="H121" s="17">
        <f t="shared" si="3"/>
        <v>7200</v>
      </c>
      <c r="I121" s="14" t="s">
        <v>491</v>
      </c>
      <c r="J121" s="1">
        <v>0.45833333333333331</v>
      </c>
      <c r="K121" s="10" t="s">
        <v>15</v>
      </c>
    </row>
    <row r="122" spans="1:11" x14ac:dyDescent="0.25">
      <c r="A122" s="10" t="s">
        <v>140</v>
      </c>
      <c r="B122" s="4" t="s">
        <v>463</v>
      </c>
      <c r="C122" s="3" t="s">
        <v>388</v>
      </c>
      <c r="D122" s="4" t="s">
        <v>445</v>
      </c>
      <c r="E122" s="11">
        <v>44280</v>
      </c>
      <c r="F122" s="4">
        <v>12</v>
      </c>
      <c r="G122" s="17">
        <v>1000</v>
      </c>
      <c r="H122" s="17">
        <f t="shared" si="3"/>
        <v>12000</v>
      </c>
      <c r="I122" s="14" t="s">
        <v>28</v>
      </c>
      <c r="J122" s="1">
        <v>0.58333333333333337</v>
      </c>
      <c r="K122" s="10" t="s">
        <v>171</v>
      </c>
    </row>
    <row r="123" spans="1:11" x14ac:dyDescent="0.25">
      <c r="A123" s="10" t="s">
        <v>89</v>
      </c>
      <c r="B123" s="4" t="s">
        <v>466</v>
      </c>
      <c r="C123" s="3" t="s">
        <v>378</v>
      </c>
      <c r="D123" s="4" t="s">
        <v>452</v>
      </c>
      <c r="E123" s="11">
        <v>44282</v>
      </c>
      <c r="F123" s="4">
        <v>6</v>
      </c>
      <c r="G123" s="17">
        <v>700</v>
      </c>
      <c r="H123" s="17">
        <f t="shared" si="3"/>
        <v>4200</v>
      </c>
      <c r="I123" s="14" t="s">
        <v>492</v>
      </c>
      <c r="J123" s="1">
        <v>0.58333333333333337</v>
      </c>
      <c r="K123" s="10" t="s">
        <v>7</v>
      </c>
    </row>
    <row r="124" spans="1:11" x14ac:dyDescent="0.25">
      <c r="A124" s="10" t="s">
        <v>141</v>
      </c>
      <c r="B124" s="4" t="s">
        <v>463</v>
      </c>
      <c r="C124" s="3" t="s">
        <v>392</v>
      </c>
      <c r="D124" s="4" t="s">
        <v>438</v>
      </c>
      <c r="E124" s="11">
        <v>44260</v>
      </c>
      <c r="F124" s="4">
        <v>6</v>
      </c>
      <c r="G124" s="17">
        <v>700</v>
      </c>
      <c r="H124" s="17">
        <f t="shared" si="3"/>
        <v>4200</v>
      </c>
      <c r="I124" s="14" t="s">
        <v>488</v>
      </c>
      <c r="J124" s="1">
        <v>0.625</v>
      </c>
      <c r="K124" s="10" t="s">
        <v>11</v>
      </c>
    </row>
    <row r="125" spans="1:11" x14ac:dyDescent="0.25">
      <c r="A125" s="10" t="s">
        <v>98</v>
      </c>
      <c r="B125" s="4" t="s">
        <v>463</v>
      </c>
      <c r="C125" s="3" t="s">
        <v>380</v>
      </c>
      <c r="D125" s="4" t="s">
        <v>446</v>
      </c>
      <c r="E125" s="11">
        <v>44269</v>
      </c>
      <c r="F125" s="4">
        <v>3</v>
      </c>
      <c r="G125" s="17">
        <v>800</v>
      </c>
      <c r="H125" s="17">
        <f t="shared" si="3"/>
        <v>2400</v>
      </c>
      <c r="I125" s="14" t="s">
        <v>493</v>
      </c>
      <c r="J125" s="2">
        <v>0.58333333333333337</v>
      </c>
      <c r="K125" s="10" t="s">
        <v>175</v>
      </c>
    </row>
    <row r="126" spans="1:11" x14ac:dyDescent="0.25">
      <c r="A126" s="10" t="s">
        <v>133</v>
      </c>
      <c r="B126" s="4" t="s">
        <v>465</v>
      </c>
      <c r="C126" s="3" t="s">
        <v>386</v>
      </c>
      <c r="D126" s="4" t="s">
        <v>443</v>
      </c>
      <c r="E126" s="11">
        <v>44260</v>
      </c>
      <c r="F126" s="4">
        <v>6</v>
      </c>
      <c r="G126" s="17">
        <v>800</v>
      </c>
      <c r="H126" s="17">
        <f t="shared" si="3"/>
        <v>4800</v>
      </c>
      <c r="I126" s="14" t="s">
        <v>494</v>
      </c>
      <c r="J126" s="1">
        <v>0.33333333333333331</v>
      </c>
      <c r="K126" s="10" t="s">
        <v>169</v>
      </c>
    </row>
    <row r="127" spans="1:11" x14ac:dyDescent="0.25">
      <c r="A127" s="10" t="s">
        <v>96</v>
      </c>
      <c r="B127" s="4" t="s">
        <v>462</v>
      </c>
      <c r="C127" s="3" t="s">
        <v>382</v>
      </c>
      <c r="D127" s="4" t="s">
        <v>448</v>
      </c>
      <c r="E127" s="11">
        <v>44277</v>
      </c>
      <c r="F127" s="4">
        <v>9</v>
      </c>
      <c r="G127" s="17">
        <v>1200</v>
      </c>
      <c r="H127" s="17">
        <f t="shared" si="3"/>
        <v>10800</v>
      </c>
      <c r="I127" s="14" t="s">
        <v>498</v>
      </c>
      <c r="J127" s="1">
        <v>0.41666666666666669</v>
      </c>
      <c r="K127" s="10" t="s">
        <v>177</v>
      </c>
    </row>
    <row r="128" spans="1:11" x14ac:dyDescent="0.25">
      <c r="A128" s="10" t="s">
        <v>121</v>
      </c>
      <c r="B128" s="4" t="s">
        <v>463</v>
      </c>
      <c r="C128" s="3" t="s">
        <v>395</v>
      </c>
      <c r="D128" s="4" t="s">
        <v>449</v>
      </c>
      <c r="E128" s="11">
        <v>44268</v>
      </c>
      <c r="F128" s="4">
        <v>9</v>
      </c>
      <c r="G128" s="17">
        <v>800</v>
      </c>
      <c r="H128" s="17">
        <f t="shared" si="3"/>
        <v>7200</v>
      </c>
      <c r="I128" s="15" t="s">
        <v>492</v>
      </c>
      <c r="J128" s="1">
        <v>0.45833333333333331</v>
      </c>
      <c r="K128" s="10" t="s">
        <v>166</v>
      </c>
    </row>
    <row r="129" spans="1:11" x14ac:dyDescent="0.25">
      <c r="A129" s="10" t="s">
        <v>92</v>
      </c>
      <c r="B129" s="4" t="s">
        <v>464</v>
      </c>
      <c r="C129" s="3" t="s">
        <v>394</v>
      </c>
      <c r="D129" s="4" t="s">
        <v>440</v>
      </c>
      <c r="E129" s="11">
        <v>44284</v>
      </c>
      <c r="F129" s="4">
        <v>9</v>
      </c>
      <c r="G129" s="17">
        <v>900</v>
      </c>
      <c r="H129" s="17">
        <f t="shared" si="3"/>
        <v>8100</v>
      </c>
      <c r="I129" s="14" t="s">
        <v>497</v>
      </c>
      <c r="J129" s="1">
        <v>0.58333333333333337</v>
      </c>
      <c r="K129" s="10" t="s">
        <v>13</v>
      </c>
    </row>
    <row r="130" spans="1:11" x14ac:dyDescent="0.25">
      <c r="A130" s="10" t="s">
        <v>152</v>
      </c>
      <c r="B130" s="4" t="s">
        <v>463</v>
      </c>
      <c r="C130" s="3" t="s">
        <v>382</v>
      </c>
      <c r="D130" s="4" t="s">
        <v>448</v>
      </c>
      <c r="E130" s="11">
        <v>44270</v>
      </c>
      <c r="F130" s="4">
        <v>9</v>
      </c>
      <c r="G130" s="17">
        <v>1200</v>
      </c>
      <c r="H130" s="17">
        <f t="shared" si="3"/>
        <v>10800</v>
      </c>
      <c r="I130" s="14" t="s">
        <v>486</v>
      </c>
      <c r="J130" s="1">
        <v>0.33333333333333331</v>
      </c>
      <c r="K130" s="10" t="s">
        <v>177</v>
      </c>
    </row>
    <row r="131" spans="1:11" x14ac:dyDescent="0.25">
      <c r="A131" s="10" t="s">
        <v>65</v>
      </c>
      <c r="B131" s="4" t="s">
        <v>462</v>
      </c>
      <c r="C131" s="3" t="s">
        <v>392</v>
      </c>
      <c r="D131" s="4" t="s">
        <v>438</v>
      </c>
      <c r="E131" s="11">
        <v>44257</v>
      </c>
      <c r="F131" s="4">
        <v>6</v>
      </c>
      <c r="G131" s="17">
        <v>700</v>
      </c>
      <c r="H131" s="17">
        <f t="shared" si="3"/>
        <v>4200</v>
      </c>
      <c r="I131" s="14" t="s">
        <v>490</v>
      </c>
      <c r="J131" s="1">
        <v>0.375</v>
      </c>
      <c r="K131" s="10" t="s">
        <v>11</v>
      </c>
    </row>
  </sheetData>
  <mergeCells count="2">
    <mergeCell ref="A2:K2"/>
    <mergeCell ref="A1:K1"/>
  </mergeCells>
  <phoneticPr fontId="4" type="noConversion"/>
  <conditionalFormatting sqref="C4:C10">
    <cfRule type="cellIs" dxfId="488" priority="116" operator="equal">
      <formula>"入門"</formula>
    </cfRule>
    <cfRule type="cellIs" dxfId="487" priority="117" operator="equal">
      <formula>"熱瑜珈"</formula>
    </cfRule>
    <cfRule type="cellIs" dxfId="486" priority="118" operator="equal">
      <formula>"哈達瑜珈"</formula>
    </cfRule>
    <cfRule type="cellIs" dxfId="485" priority="119" operator="equal">
      <formula>"基礎瑜珈"</formula>
    </cfRule>
    <cfRule type="cellIs" dxfId="484" priority="120" operator="equal">
      <formula>"兒童瑜珈"</formula>
    </cfRule>
  </conditionalFormatting>
  <conditionalFormatting sqref="C11:C20">
    <cfRule type="cellIs" dxfId="483" priority="111" operator="equal">
      <formula>"入門"</formula>
    </cfRule>
    <cfRule type="cellIs" dxfId="482" priority="112" operator="equal">
      <formula>"熱瑜珈"</formula>
    </cfRule>
    <cfRule type="cellIs" dxfId="481" priority="113" operator="equal">
      <formula>"哈達瑜珈"</formula>
    </cfRule>
    <cfRule type="cellIs" dxfId="480" priority="114" operator="equal">
      <formula>"基礎瑜珈"</formula>
    </cfRule>
    <cfRule type="cellIs" dxfId="479" priority="115" operator="equal">
      <formula>"兒童瑜珈"</formula>
    </cfRule>
  </conditionalFormatting>
  <conditionalFormatting sqref="C21:C27">
    <cfRule type="cellIs" dxfId="478" priority="106" operator="equal">
      <formula>"入門"</formula>
    </cfRule>
    <cfRule type="cellIs" dxfId="477" priority="107" operator="equal">
      <formula>"熱瑜珈"</formula>
    </cfRule>
    <cfRule type="cellIs" dxfId="476" priority="108" operator="equal">
      <formula>"哈達瑜珈"</formula>
    </cfRule>
    <cfRule type="cellIs" dxfId="475" priority="109" operator="equal">
      <formula>"基礎瑜珈"</formula>
    </cfRule>
    <cfRule type="cellIs" dxfId="474" priority="110" operator="equal">
      <formula>"兒童瑜珈"</formula>
    </cfRule>
  </conditionalFormatting>
  <conditionalFormatting sqref="C28:C29">
    <cfRule type="cellIs" dxfId="473" priority="101" operator="equal">
      <formula>"入門"</formula>
    </cfRule>
    <cfRule type="cellIs" dxfId="472" priority="102" operator="equal">
      <formula>"熱瑜珈"</formula>
    </cfRule>
    <cfRule type="cellIs" dxfId="471" priority="103" operator="equal">
      <formula>"哈達瑜珈"</formula>
    </cfRule>
    <cfRule type="cellIs" dxfId="470" priority="104" operator="equal">
      <formula>"基礎瑜珈"</formula>
    </cfRule>
    <cfRule type="cellIs" dxfId="469" priority="105" operator="equal">
      <formula>"兒童瑜珈"</formula>
    </cfRule>
  </conditionalFormatting>
  <conditionalFormatting sqref="C30:C36">
    <cfRule type="cellIs" dxfId="468" priority="96" operator="equal">
      <formula>"入門"</formula>
    </cfRule>
    <cfRule type="cellIs" dxfId="467" priority="97" operator="equal">
      <formula>"熱瑜珈"</formula>
    </cfRule>
    <cfRule type="cellIs" dxfId="466" priority="98" operator="equal">
      <formula>"哈達瑜珈"</formula>
    </cfRule>
    <cfRule type="cellIs" dxfId="465" priority="99" operator="equal">
      <formula>"基礎瑜珈"</formula>
    </cfRule>
    <cfRule type="cellIs" dxfId="464" priority="100" operator="equal">
      <formula>"兒童瑜珈"</formula>
    </cfRule>
  </conditionalFormatting>
  <conditionalFormatting sqref="C37:C46">
    <cfRule type="cellIs" dxfId="463" priority="91" operator="equal">
      <formula>"入門"</formula>
    </cfRule>
    <cfRule type="cellIs" dxfId="462" priority="92" operator="equal">
      <formula>"熱瑜珈"</formula>
    </cfRule>
    <cfRule type="cellIs" dxfId="461" priority="93" operator="equal">
      <formula>"哈達瑜珈"</formula>
    </cfRule>
    <cfRule type="cellIs" dxfId="460" priority="94" operator="equal">
      <formula>"基礎瑜珈"</formula>
    </cfRule>
    <cfRule type="cellIs" dxfId="459" priority="95" operator="equal">
      <formula>"兒童瑜珈"</formula>
    </cfRule>
  </conditionalFormatting>
  <conditionalFormatting sqref="C47:C53">
    <cfRule type="cellIs" dxfId="458" priority="86" operator="equal">
      <formula>"入門"</formula>
    </cfRule>
    <cfRule type="cellIs" dxfId="457" priority="87" operator="equal">
      <formula>"熱瑜珈"</formula>
    </cfRule>
    <cfRule type="cellIs" dxfId="456" priority="88" operator="equal">
      <formula>"哈達瑜珈"</formula>
    </cfRule>
    <cfRule type="cellIs" dxfId="455" priority="89" operator="equal">
      <formula>"基礎瑜珈"</formula>
    </cfRule>
    <cfRule type="cellIs" dxfId="454" priority="90" operator="equal">
      <formula>"兒童瑜珈"</formula>
    </cfRule>
  </conditionalFormatting>
  <conditionalFormatting sqref="C54:C55">
    <cfRule type="cellIs" dxfId="453" priority="81" operator="equal">
      <formula>"入門"</formula>
    </cfRule>
    <cfRule type="cellIs" dxfId="452" priority="82" operator="equal">
      <formula>"熱瑜珈"</formula>
    </cfRule>
    <cfRule type="cellIs" dxfId="451" priority="83" operator="equal">
      <formula>"哈達瑜珈"</formula>
    </cfRule>
    <cfRule type="cellIs" dxfId="450" priority="84" operator="equal">
      <formula>"基礎瑜珈"</formula>
    </cfRule>
    <cfRule type="cellIs" dxfId="449" priority="85" operator="equal">
      <formula>"兒童瑜珈"</formula>
    </cfRule>
  </conditionalFormatting>
  <conditionalFormatting sqref="C56:C62">
    <cfRule type="cellIs" dxfId="448" priority="76" operator="equal">
      <formula>"入門"</formula>
    </cfRule>
    <cfRule type="cellIs" dxfId="447" priority="77" operator="equal">
      <formula>"熱瑜珈"</formula>
    </cfRule>
    <cfRule type="cellIs" dxfId="446" priority="78" operator="equal">
      <formula>"哈達瑜珈"</formula>
    </cfRule>
    <cfRule type="cellIs" dxfId="445" priority="79" operator="equal">
      <formula>"基礎瑜珈"</formula>
    </cfRule>
    <cfRule type="cellIs" dxfId="444" priority="80" operator="equal">
      <formula>"兒童瑜珈"</formula>
    </cfRule>
  </conditionalFormatting>
  <conditionalFormatting sqref="C63:C72">
    <cfRule type="cellIs" dxfId="443" priority="71" operator="equal">
      <formula>"入門"</formula>
    </cfRule>
    <cfRule type="cellIs" dxfId="442" priority="72" operator="equal">
      <formula>"熱瑜珈"</formula>
    </cfRule>
    <cfRule type="cellIs" dxfId="441" priority="73" operator="equal">
      <formula>"哈達瑜珈"</formula>
    </cfRule>
    <cfRule type="cellIs" dxfId="440" priority="74" operator="equal">
      <formula>"基礎瑜珈"</formula>
    </cfRule>
    <cfRule type="cellIs" dxfId="439" priority="75" operator="equal">
      <formula>"兒童瑜珈"</formula>
    </cfRule>
  </conditionalFormatting>
  <conditionalFormatting sqref="C73:C77">
    <cfRule type="cellIs" dxfId="438" priority="66" operator="equal">
      <formula>"入門"</formula>
    </cfRule>
    <cfRule type="cellIs" dxfId="437" priority="67" operator="equal">
      <formula>"熱瑜珈"</formula>
    </cfRule>
    <cfRule type="cellIs" dxfId="436" priority="68" operator="equal">
      <formula>"哈達瑜珈"</formula>
    </cfRule>
    <cfRule type="cellIs" dxfId="435" priority="69" operator="equal">
      <formula>"基礎瑜珈"</formula>
    </cfRule>
    <cfRule type="cellIs" dxfId="434" priority="70" operator="equal">
      <formula>"兒童瑜珈"</formula>
    </cfRule>
  </conditionalFormatting>
  <conditionalFormatting sqref="C78:C83">
    <cfRule type="cellIs" dxfId="433" priority="61" operator="equal">
      <formula>"入門"</formula>
    </cfRule>
    <cfRule type="cellIs" dxfId="432" priority="62" operator="equal">
      <formula>"熱瑜珈"</formula>
    </cfRule>
    <cfRule type="cellIs" dxfId="431" priority="63" operator="equal">
      <formula>"哈達瑜珈"</formula>
    </cfRule>
    <cfRule type="cellIs" dxfId="430" priority="64" operator="equal">
      <formula>"基礎瑜珈"</formula>
    </cfRule>
    <cfRule type="cellIs" dxfId="429" priority="65" operator="equal">
      <formula>"兒童瑜珈"</formula>
    </cfRule>
  </conditionalFormatting>
  <conditionalFormatting sqref="C84:C93">
    <cfRule type="cellIs" dxfId="428" priority="56" operator="equal">
      <formula>"入門"</formula>
    </cfRule>
    <cfRule type="cellIs" dxfId="427" priority="57" operator="equal">
      <formula>"熱瑜珈"</formula>
    </cfRule>
    <cfRule type="cellIs" dxfId="426" priority="58" operator="equal">
      <formula>"哈達瑜珈"</formula>
    </cfRule>
    <cfRule type="cellIs" dxfId="425" priority="59" operator="equal">
      <formula>"基礎瑜珈"</formula>
    </cfRule>
    <cfRule type="cellIs" dxfId="424" priority="60" operator="equal">
      <formula>"兒童瑜珈"</formula>
    </cfRule>
  </conditionalFormatting>
  <conditionalFormatting sqref="C94:C98">
    <cfRule type="cellIs" dxfId="423" priority="51" operator="equal">
      <formula>"入門"</formula>
    </cfRule>
    <cfRule type="cellIs" dxfId="422" priority="52" operator="equal">
      <formula>"熱瑜珈"</formula>
    </cfRule>
    <cfRule type="cellIs" dxfId="421" priority="53" operator="equal">
      <formula>"哈達瑜珈"</formula>
    </cfRule>
    <cfRule type="cellIs" dxfId="420" priority="54" operator="equal">
      <formula>"基礎瑜珈"</formula>
    </cfRule>
    <cfRule type="cellIs" dxfId="419" priority="55" operator="equal">
      <formula>"兒童瑜珈"</formula>
    </cfRule>
  </conditionalFormatting>
  <conditionalFormatting sqref="C99:C105">
    <cfRule type="cellIs" dxfId="418" priority="46" operator="equal">
      <formula>"入門"</formula>
    </cfRule>
    <cfRule type="cellIs" dxfId="417" priority="47" operator="equal">
      <formula>"熱瑜珈"</formula>
    </cfRule>
    <cfRule type="cellIs" dxfId="416" priority="48" operator="equal">
      <formula>"哈達瑜珈"</formula>
    </cfRule>
    <cfRule type="cellIs" dxfId="415" priority="49" operator="equal">
      <formula>"基礎瑜珈"</formula>
    </cfRule>
    <cfRule type="cellIs" dxfId="414" priority="50" operator="equal">
      <formula>"兒童瑜珈"</formula>
    </cfRule>
  </conditionalFormatting>
  <conditionalFormatting sqref="C106:C108">
    <cfRule type="cellIs" dxfId="413" priority="41" operator="equal">
      <formula>"入門"</formula>
    </cfRule>
    <cfRule type="cellIs" dxfId="412" priority="42" operator="equal">
      <formula>"熱瑜珈"</formula>
    </cfRule>
    <cfRule type="cellIs" dxfId="411" priority="43" operator="equal">
      <formula>"哈達瑜珈"</formula>
    </cfRule>
    <cfRule type="cellIs" dxfId="410" priority="44" operator="equal">
      <formula>"基礎瑜珈"</formula>
    </cfRule>
    <cfRule type="cellIs" dxfId="409" priority="45" operator="equal">
      <formula>"兒童瑜珈"</formula>
    </cfRule>
  </conditionalFormatting>
  <conditionalFormatting sqref="C109">
    <cfRule type="cellIs" dxfId="408" priority="36" operator="equal">
      <formula>"入門"</formula>
    </cfRule>
    <cfRule type="cellIs" dxfId="407" priority="37" operator="equal">
      <formula>"熱瑜珈"</formula>
    </cfRule>
    <cfRule type="cellIs" dxfId="406" priority="38" operator="equal">
      <formula>"哈達瑜珈"</formula>
    </cfRule>
    <cfRule type="cellIs" dxfId="405" priority="39" operator="equal">
      <formula>"基礎瑜珈"</formula>
    </cfRule>
    <cfRule type="cellIs" dxfId="404" priority="40" operator="equal">
      <formula>"兒童瑜珈"</formula>
    </cfRule>
  </conditionalFormatting>
  <conditionalFormatting sqref="C110:C115">
    <cfRule type="cellIs" dxfId="403" priority="31" operator="equal">
      <formula>"入門"</formula>
    </cfRule>
    <cfRule type="cellIs" dxfId="402" priority="32" operator="equal">
      <formula>"熱瑜珈"</formula>
    </cfRule>
    <cfRule type="cellIs" dxfId="401" priority="33" operator="equal">
      <formula>"哈達瑜珈"</formula>
    </cfRule>
    <cfRule type="cellIs" dxfId="400" priority="34" operator="equal">
      <formula>"基礎瑜珈"</formula>
    </cfRule>
    <cfRule type="cellIs" dxfId="399" priority="35" operator="equal">
      <formula>"兒童瑜珈"</formula>
    </cfRule>
  </conditionalFormatting>
  <conditionalFormatting sqref="C116">
    <cfRule type="cellIs" dxfId="398" priority="26" operator="equal">
      <formula>"入門"</formula>
    </cfRule>
    <cfRule type="cellIs" dxfId="397" priority="27" operator="equal">
      <formula>"熱瑜珈"</formula>
    </cfRule>
    <cfRule type="cellIs" dxfId="396" priority="28" operator="equal">
      <formula>"哈達瑜珈"</formula>
    </cfRule>
    <cfRule type="cellIs" dxfId="395" priority="29" operator="equal">
      <formula>"基礎瑜珈"</formula>
    </cfRule>
    <cfRule type="cellIs" dxfId="394" priority="30" operator="equal">
      <formula>"兒童瑜珈"</formula>
    </cfRule>
  </conditionalFormatting>
  <conditionalFormatting sqref="C117:C123">
    <cfRule type="cellIs" dxfId="393" priority="21" operator="equal">
      <formula>"入門"</formula>
    </cfRule>
    <cfRule type="cellIs" dxfId="392" priority="22" operator="equal">
      <formula>"熱瑜珈"</formula>
    </cfRule>
    <cfRule type="cellIs" dxfId="391" priority="23" operator="equal">
      <formula>"哈達瑜珈"</formula>
    </cfRule>
    <cfRule type="cellIs" dxfId="390" priority="24" operator="equal">
      <formula>"基礎瑜珈"</formula>
    </cfRule>
    <cfRule type="cellIs" dxfId="389" priority="25" operator="equal">
      <formula>"兒童瑜珈"</formula>
    </cfRule>
  </conditionalFormatting>
  <conditionalFormatting sqref="C124:C128">
    <cfRule type="cellIs" dxfId="388" priority="16" operator="equal">
      <formula>"入門"</formula>
    </cfRule>
    <cfRule type="cellIs" dxfId="387" priority="17" operator="equal">
      <formula>"熱瑜珈"</formula>
    </cfRule>
    <cfRule type="cellIs" dxfId="386" priority="18" operator="equal">
      <formula>"哈達瑜珈"</formula>
    </cfRule>
    <cfRule type="cellIs" dxfId="385" priority="19" operator="equal">
      <formula>"基礎瑜珈"</formula>
    </cfRule>
    <cfRule type="cellIs" dxfId="384" priority="20" operator="equal">
      <formula>"兒童瑜珈"</formula>
    </cfRule>
  </conditionalFormatting>
  <conditionalFormatting sqref="C129">
    <cfRule type="cellIs" dxfId="383" priority="11" operator="equal">
      <formula>"入門"</formula>
    </cfRule>
    <cfRule type="cellIs" dxfId="382" priority="12" operator="equal">
      <formula>"熱瑜珈"</formula>
    </cfRule>
    <cfRule type="cellIs" dxfId="381" priority="13" operator="equal">
      <formula>"哈達瑜珈"</formula>
    </cfRule>
    <cfRule type="cellIs" dxfId="380" priority="14" operator="equal">
      <formula>"基礎瑜珈"</formula>
    </cfRule>
    <cfRule type="cellIs" dxfId="379" priority="15" operator="equal">
      <formula>"兒童瑜珈"</formula>
    </cfRule>
  </conditionalFormatting>
  <conditionalFormatting sqref="C130">
    <cfRule type="cellIs" dxfId="378" priority="6" operator="equal">
      <formula>"入門"</formula>
    </cfRule>
    <cfRule type="cellIs" dxfId="377" priority="7" operator="equal">
      <formula>"熱瑜珈"</formula>
    </cfRule>
    <cfRule type="cellIs" dxfId="376" priority="8" operator="equal">
      <formula>"哈達瑜珈"</formula>
    </cfRule>
    <cfRule type="cellIs" dxfId="375" priority="9" operator="equal">
      <formula>"基礎瑜珈"</formula>
    </cfRule>
    <cfRule type="cellIs" dxfId="374" priority="10" operator="equal">
      <formula>"兒童瑜珈"</formula>
    </cfRule>
  </conditionalFormatting>
  <conditionalFormatting sqref="C131">
    <cfRule type="cellIs" dxfId="373" priority="1" operator="equal">
      <formula>"入門"</formula>
    </cfRule>
    <cfRule type="cellIs" dxfId="372" priority="2" operator="equal">
      <formula>"熱瑜珈"</formula>
    </cfRule>
    <cfRule type="cellIs" dxfId="371" priority="3" operator="equal">
      <formula>"哈達瑜珈"</formula>
    </cfRule>
    <cfRule type="cellIs" dxfId="370" priority="4" operator="equal">
      <formula>"基礎瑜珈"</formula>
    </cfRule>
    <cfRule type="cellIs" dxfId="369" priority="5" operator="equal">
      <formula>"兒童瑜珈"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34DB-AA1D-4A54-AE39-B063034C24E8}">
  <dimension ref="A1:K181"/>
  <sheetViews>
    <sheetView workbookViewId="0">
      <selection sqref="A1:K1"/>
    </sheetView>
  </sheetViews>
  <sheetFormatPr defaultRowHeight="15" x14ac:dyDescent="0.25"/>
  <cols>
    <col min="1" max="3" width="9" style="4"/>
    <col min="4" max="4" width="16.125" style="4" customWidth="1"/>
    <col min="5" max="5" width="11.5" style="4" bestFit="1" customWidth="1"/>
    <col min="6" max="7" width="9" style="4"/>
    <col min="8" max="8" width="11.25" style="4" bestFit="1" customWidth="1"/>
    <col min="9" max="9" width="9" style="4"/>
    <col min="10" max="10" width="10.125" style="4" bestFit="1" customWidth="1"/>
    <col min="11" max="16384" width="9" style="4"/>
  </cols>
  <sheetData>
    <row r="1" spans="1:11" ht="20.25" x14ac:dyDescent="0.25">
      <c r="A1" s="41" t="s">
        <v>428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1" ht="18.75" x14ac:dyDescent="0.25">
      <c r="A2" s="42" t="s">
        <v>467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x14ac:dyDescent="0.25">
      <c r="A3" s="23" t="s">
        <v>430</v>
      </c>
      <c r="B3" s="24" t="s">
        <v>431</v>
      </c>
      <c r="C3" s="25" t="s">
        <v>1</v>
      </c>
      <c r="D3" s="24" t="s">
        <v>0</v>
      </c>
      <c r="E3" s="26" t="s">
        <v>435</v>
      </c>
      <c r="F3" s="26" t="s">
        <v>436</v>
      </c>
      <c r="G3" s="26" t="s">
        <v>437</v>
      </c>
      <c r="H3" s="26" t="s">
        <v>518</v>
      </c>
      <c r="I3" s="27" t="s">
        <v>2</v>
      </c>
      <c r="J3" s="26" t="s">
        <v>432</v>
      </c>
      <c r="K3" s="28" t="s">
        <v>421</v>
      </c>
    </row>
    <row r="4" spans="1:11" x14ac:dyDescent="0.25">
      <c r="A4" s="3" t="s">
        <v>358</v>
      </c>
      <c r="B4" s="4" t="s">
        <v>461</v>
      </c>
      <c r="C4" s="3" t="s">
        <v>377</v>
      </c>
      <c r="D4" s="4" t="s">
        <v>442</v>
      </c>
      <c r="E4" s="11">
        <v>44260</v>
      </c>
      <c r="F4" s="4">
        <v>9</v>
      </c>
      <c r="G4" s="16">
        <v>700</v>
      </c>
      <c r="H4" s="16">
        <f>F4*G4</f>
        <v>6300</v>
      </c>
      <c r="I4" s="14" t="s">
        <v>491</v>
      </c>
      <c r="J4" s="1">
        <v>0.45833333333333331</v>
      </c>
      <c r="K4" s="4" t="s">
        <v>5</v>
      </c>
    </row>
    <row r="5" spans="1:11" x14ac:dyDescent="0.25">
      <c r="A5" s="3" t="s">
        <v>224</v>
      </c>
      <c r="B5" s="4" t="s">
        <v>463</v>
      </c>
      <c r="C5" s="3" t="s">
        <v>390</v>
      </c>
      <c r="D5" s="4" t="s">
        <v>456</v>
      </c>
      <c r="E5" s="11">
        <v>44267</v>
      </c>
      <c r="F5" s="4">
        <v>12</v>
      </c>
      <c r="G5" s="16">
        <v>900</v>
      </c>
      <c r="H5" s="16">
        <f t="shared" ref="H5:H68" si="0">F5*G5</f>
        <v>10800</v>
      </c>
      <c r="I5" s="14" t="s">
        <v>490</v>
      </c>
      <c r="J5" s="1">
        <v>0.58333333333333337</v>
      </c>
      <c r="K5" s="4" t="s">
        <v>164</v>
      </c>
    </row>
    <row r="6" spans="1:11" x14ac:dyDescent="0.25">
      <c r="A6" s="3" t="s">
        <v>232</v>
      </c>
      <c r="B6" s="4" t="s">
        <v>465</v>
      </c>
      <c r="C6" s="3" t="s">
        <v>386</v>
      </c>
      <c r="D6" s="4" t="s">
        <v>443</v>
      </c>
      <c r="E6" s="11">
        <v>44278</v>
      </c>
      <c r="F6" s="4">
        <v>6</v>
      </c>
      <c r="G6" s="16">
        <v>800</v>
      </c>
      <c r="H6" s="16">
        <f t="shared" si="0"/>
        <v>4800</v>
      </c>
      <c r="I6" s="14" t="s">
        <v>491</v>
      </c>
      <c r="J6" s="1">
        <v>0.58333333333333337</v>
      </c>
      <c r="K6" s="4" t="s">
        <v>169</v>
      </c>
    </row>
    <row r="7" spans="1:11" x14ac:dyDescent="0.25">
      <c r="A7" s="3" t="s">
        <v>256</v>
      </c>
      <c r="B7" s="4" t="s">
        <v>463</v>
      </c>
      <c r="C7" s="3" t="s">
        <v>383</v>
      </c>
      <c r="D7" s="4" t="s">
        <v>454</v>
      </c>
      <c r="E7" s="11">
        <v>44260</v>
      </c>
      <c r="F7" s="4">
        <v>3</v>
      </c>
      <c r="G7" s="16">
        <v>800</v>
      </c>
      <c r="H7" s="16">
        <f t="shared" si="0"/>
        <v>2400</v>
      </c>
      <c r="I7" s="14" t="s">
        <v>28</v>
      </c>
      <c r="J7" s="1">
        <v>0.33333333333333331</v>
      </c>
      <c r="K7" s="4" t="s">
        <v>172</v>
      </c>
    </row>
    <row r="8" spans="1:11" x14ac:dyDescent="0.25">
      <c r="A8" s="3" t="s">
        <v>178</v>
      </c>
      <c r="B8" s="4" t="s">
        <v>465</v>
      </c>
      <c r="C8" s="3" t="s">
        <v>381</v>
      </c>
      <c r="D8" s="4" t="s">
        <v>447</v>
      </c>
      <c r="E8" s="11">
        <v>44259</v>
      </c>
      <c r="F8" s="4">
        <v>6</v>
      </c>
      <c r="G8" s="16">
        <v>1000</v>
      </c>
      <c r="H8" s="16">
        <f t="shared" si="0"/>
        <v>6000</v>
      </c>
      <c r="I8" s="14" t="s">
        <v>26</v>
      </c>
      <c r="J8" s="1">
        <v>0.41666666666666669</v>
      </c>
      <c r="K8" s="4" t="s">
        <v>176</v>
      </c>
    </row>
    <row r="9" spans="1:11" x14ac:dyDescent="0.25">
      <c r="A9" s="3" t="s">
        <v>234</v>
      </c>
      <c r="B9" s="4" t="s">
        <v>463</v>
      </c>
      <c r="C9" s="3" t="s">
        <v>389</v>
      </c>
      <c r="D9" s="4" t="s">
        <v>455</v>
      </c>
      <c r="E9" s="11">
        <v>44264</v>
      </c>
      <c r="F9" s="4">
        <v>9</v>
      </c>
      <c r="G9" s="16">
        <v>800</v>
      </c>
      <c r="H9" s="16">
        <f t="shared" si="0"/>
        <v>7200</v>
      </c>
      <c r="I9" s="14" t="s">
        <v>492</v>
      </c>
      <c r="J9" s="1">
        <v>0.45833333333333331</v>
      </c>
      <c r="K9" s="4" t="s">
        <v>163</v>
      </c>
    </row>
    <row r="10" spans="1:11" x14ac:dyDescent="0.25">
      <c r="A10" s="3" t="s">
        <v>290</v>
      </c>
      <c r="B10" s="4" t="s">
        <v>462</v>
      </c>
      <c r="C10" s="3" t="s">
        <v>386</v>
      </c>
      <c r="D10" s="4" t="s">
        <v>443</v>
      </c>
      <c r="E10" s="11">
        <v>44275</v>
      </c>
      <c r="F10" s="4">
        <v>6</v>
      </c>
      <c r="G10" s="16">
        <v>800</v>
      </c>
      <c r="H10" s="16">
        <f t="shared" si="0"/>
        <v>4800</v>
      </c>
      <c r="I10" s="14" t="s">
        <v>499</v>
      </c>
      <c r="J10" s="1">
        <v>0.58333333333333337</v>
      </c>
      <c r="K10" s="4" t="s">
        <v>169</v>
      </c>
    </row>
    <row r="11" spans="1:11" x14ac:dyDescent="0.25">
      <c r="A11" s="3" t="s">
        <v>241</v>
      </c>
      <c r="B11" s="4" t="s">
        <v>463</v>
      </c>
      <c r="C11" s="3" t="s">
        <v>379</v>
      </c>
      <c r="D11" s="4" t="s">
        <v>453</v>
      </c>
      <c r="E11" s="11">
        <v>44282</v>
      </c>
      <c r="F11" s="4">
        <v>9</v>
      </c>
      <c r="G11" s="16">
        <v>800</v>
      </c>
      <c r="H11" s="16">
        <f t="shared" si="0"/>
        <v>7200</v>
      </c>
      <c r="I11" s="14" t="s">
        <v>500</v>
      </c>
      <c r="J11" s="1">
        <v>0.33333333333333331</v>
      </c>
      <c r="K11" s="4" t="s">
        <v>9</v>
      </c>
    </row>
    <row r="12" spans="1:11" x14ac:dyDescent="0.25">
      <c r="A12" s="3" t="s">
        <v>313</v>
      </c>
      <c r="B12" s="4" t="s">
        <v>462</v>
      </c>
      <c r="C12" s="3" t="s">
        <v>391</v>
      </c>
      <c r="D12" s="4" t="s">
        <v>457</v>
      </c>
      <c r="E12" s="11">
        <v>44256</v>
      </c>
      <c r="F12" s="4">
        <v>9</v>
      </c>
      <c r="G12" s="16">
        <v>1000</v>
      </c>
      <c r="H12" s="16">
        <f t="shared" si="0"/>
        <v>9000</v>
      </c>
      <c r="I12" s="14" t="s">
        <v>487</v>
      </c>
      <c r="J12" s="1">
        <v>0.375</v>
      </c>
      <c r="K12" s="4" t="s">
        <v>165</v>
      </c>
    </row>
    <row r="13" spans="1:11" x14ac:dyDescent="0.25">
      <c r="A13" s="3" t="s">
        <v>357</v>
      </c>
      <c r="B13" s="4" t="s">
        <v>462</v>
      </c>
      <c r="C13" s="3" t="s">
        <v>383</v>
      </c>
      <c r="D13" s="4" t="s">
        <v>454</v>
      </c>
      <c r="E13" s="11">
        <v>44261</v>
      </c>
      <c r="F13" s="4">
        <v>3</v>
      </c>
      <c r="G13" s="16">
        <v>800</v>
      </c>
      <c r="H13" s="16">
        <f t="shared" si="0"/>
        <v>2400</v>
      </c>
      <c r="I13" s="14" t="s">
        <v>488</v>
      </c>
      <c r="J13" s="1">
        <v>0.41666666666666669</v>
      </c>
      <c r="K13" s="4" t="s">
        <v>172</v>
      </c>
    </row>
    <row r="14" spans="1:11" x14ac:dyDescent="0.25">
      <c r="A14" s="3" t="s">
        <v>259</v>
      </c>
      <c r="B14" s="4" t="s">
        <v>463</v>
      </c>
      <c r="C14" s="3" t="s">
        <v>384</v>
      </c>
      <c r="D14" s="4" t="s">
        <v>458</v>
      </c>
      <c r="E14" s="11">
        <v>44262</v>
      </c>
      <c r="F14" s="4">
        <v>6</v>
      </c>
      <c r="G14" s="16">
        <v>1000</v>
      </c>
      <c r="H14" s="16">
        <f t="shared" si="0"/>
        <v>6000</v>
      </c>
      <c r="I14" s="14" t="s">
        <v>489</v>
      </c>
      <c r="J14" s="1">
        <v>0.45833333333333331</v>
      </c>
      <c r="K14" s="4" t="s">
        <v>173</v>
      </c>
    </row>
    <row r="15" spans="1:11" x14ac:dyDescent="0.25">
      <c r="A15" s="3" t="s">
        <v>298</v>
      </c>
      <c r="B15" s="4" t="s">
        <v>463</v>
      </c>
      <c r="C15" s="3" t="s">
        <v>378</v>
      </c>
      <c r="D15" s="4" t="s">
        <v>452</v>
      </c>
      <c r="E15" s="11">
        <v>44261</v>
      </c>
      <c r="F15" s="4">
        <v>6</v>
      </c>
      <c r="G15" s="16">
        <v>700</v>
      </c>
      <c r="H15" s="16">
        <f t="shared" si="0"/>
        <v>4200</v>
      </c>
      <c r="I15" s="14" t="s">
        <v>495</v>
      </c>
      <c r="J15" s="2">
        <v>0.58333333333333337</v>
      </c>
      <c r="K15" s="4" t="s">
        <v>7</v>
      </c>
    </row>
    <row r="16" spans="1:11" x14ac:dyDescent="0.25">
      <c r="A16" s="3" t="s">
        <v>228</v>
      </c>
      <c r="B16" s="4" t="s">
        <v>462</v>
      </c>
      <c r="C16" s="3" t="s">
        <v>391</v>
      </c>
      <c r="D16" s="4" t="s">
        <v>457</v>
      </c>
      <c r="E16" s="11">
        <v>44280</v>
      </c>
      <c r="F16" s="4">
        <v>9</v>
      </c>
      <c r="G16" s="16">
        <v>1000</v>
      </c>
      <c r="H16" s="16">
        <f t="shared" si="0"/>
        <v>9000</v>
      </c>
      <c r="I16" s="14" t="s">
        <v>491</v>
      </c>
      <c r="J16" s="1">
        <v>0.33333333333333331</v>
      </c>
      <c r="K16" s="4" t="s">
        <v>165</v>
      </c>
    </row>
    <row r="17" spans="1:11" x14ac:dyDescent="0.25">
      <c r="A17" s="3" t="s">
        <v>351</v>
      </c>
      <c r="B17" s="4" t="s">
        <v>463</v>
      </c>
      <c r="C17" s="3" t="s">
        <v>391</v>
      </c>
      <c r="D17" s="4" t="s">
        <v>457</v>
      </c>
      <c r="E17" s="11">
        <v>44260</v>
      </c>
      <c r="F17" s="4">
        <v>9</v>
      </c>
      <c r="G17" s="16">
        <v>1000</v>
      </c>
      <c r="H17" s="16">
        <f t="shared" si="0"/>
        <v>9000</v>
      </c>
      <c r="I17" s="14" t="s">
        <v>497</v>
      </c>
      <c r="J17" s="1">
        <v>0.41666666666666669</v>
      </c>
      <c r="K17" s="4" t="s">
        <v>165</v>
      </c>
    </row>
    <row r="18" spans="1:11" x14ac:dyDescent="0.25">
      <c r="A18" s="3" t="s">
        <v>362</v>
      </c>
      <c r="B18" s="4" t="s">
        <v>463</v>
      </c>
      <c r="C18" s="3" t="s">
        <v>378</v>
      </c>
      <c r="D18" s="4" t="s">
        <v>452</v>
      </c>
      <c r="E18" s="11">
        <v>44277</v>
      </c>
      <c r="F18" s="4">
        <v>6</v>
      </c>
      <c r="G18" s="16">
        <v>700</v>
      </c>
      <c r="H18" s="16">
        <f t="shared" si="0"/>
        <v>4200</v>
      </c>
      <c r="I18" s="15" t="s">
        <v>26</v>
      </c>
      <c r="J18" s="1">
        <v>0.45833333333333331</v>
      </c>
      <c r="K18" s="4" t="s">
        <v>7</v>
      </c>
    </row>
    <row r="19" spans="1:11" x14ac:dyDescent="0.25">
      <c r="A19" s="3" t="s">
        <v>286</v>
      </c>
      <c r="B19" s="4" t="s">
        <v>463</v>
      </c>
      <c r="C19" s="3" t="s">
        <v>393</v>
      </c>
      <c r="D19" s="4" t="s">
        <v>439</v>
      </c>
      <c r="E19" s="11">
        <v>44272</v>
      </c>
      <c r="F19" s="4">
        <v>9</v>
      </c>
      <c r="G19" s="16">
        <v>800</v>
      </c>
      <c r="H19" s="16">
        <f t="shared" si="0"/>
        <v>7200</v>
      </c>
      <c r="I19" s="14" t="s">
        <v>492</v>
      </c>
      <c r="J19" s="1">
        <v>0.58333333333333337</v>
      </c>
      <c r="K19" s="4" t="s">
        <v>15</v>
      </c>
    </row>
    <row r="20" spans="1:11" x14ac:dyDescent="0.25">
      <c r="A20" s="3" t="s">
        <v>331</v>
      </c>
      <c r="B20" s="4" t="s">
        <v>462</v>
      </c>
      <c r="C20" s="3" t="s">
        <v>392</v>
      </c>
      <c r="D20" s="4" t="s">
        <v>438</v>
      </c>
      <c r="E20" s="11">
        <v>44282</v>
      </c>
      <c r="F20" s="4">
        <v>6</v>
      </c>
      <c r="G20" s="16">
        <v>700</v>
      </c>
      <c r="H20" s="16">
        <f t="shared" si="0"/>
        <v>4200</v>
      </c>
      <c r="I20" s="14" t="s">
        <v>485</v>
      </c>
      <c r="J20" s="1">
        <v>0.33333333333333331</v>
      </c>
      <c r="K20" s="4" t="s">
        <v>11</v>
      </c>
    </row>
    <row r="21" spans="1:11" x14ac:dyDescent="0.25">
      <c r="A21" s="3" t="s">
        <v>258</v>
      </c>
      <c r="B21" s="4" t="s">
        <v>463</v>
      </c>
      <c r="C21" s="3" t="s">
        <v>380</v>
      </c>
      <c r="D21" s="4" t="s">
        <v>446</v>
      </c>
      <c r="E21" s="11">
        <v>44270</v>
      </c>
      <c r="F21" s="4">
        <v>3</v>
      </c>
      <c r="G21" s="16">
        <v>800</v>
      </c>
      <c r="H21" s="16">
        <f t="shared" si="0"/>
        <v>2400</v>
      </c>
      <c r="I21" s="14" t="s">
        <v>500</v>
      </c>
      <c r="J21" s="1">
        <v>0.375</v>
      </c>
      <c r="K21" s="4" t="s">
        <v>175</v>
      </c>
    </row>
    <row r="22" spans="1:11" x14ac:dyDescent="0.25">
      <c r="A22" s="3" t="s">
        <v>296</v>
      </c>
      <c r="B22" s="4" t="s">
        <v>465</v>
      </c>
      <c r="C22" s="3" t="s">
        <v>384</v>
      </c>
      <c r="D22" s="4" t="s">
        <v>458</v>
      </c>
      <c r="E22" s="11">
        <v>44276</v>
      </c>
      <c r="F22" s="4">
        <v>6</v>
      </c>
      <c r="G22" s="16">
        <v>1000</v>
      </c>
      <c r="H22" s="16">
        <f t="shared" si="0"/>
        <v>6000</v>
      </c>
      <c r="I22" s="14" t="s">
        <v>487</v>
      </c>
      <c r="J22" s="1">
        <v>0.58333333333333337</v>
      </c>
      <c r="K22" s="4" t="s">
        <v>173</v>
      </c>
    </row>
    <row r="23" spans="1:11" x14ac:dyDescent="0.25">
      <c r="A23" s="3" t="s">
        <v>186</v>
      </c>
      <c r="B23" s="4" t="s">
        <v>463</v>
      </c>
      <c r="C23" s="3" t="s">
        <v>386</v>
      </c>
      <c r="D23" s="4" t="s">
        <v>443</v>
      </c>
      <c r="E23" s="11">
        <v>44284</v>
      </c>
      <c r="F23" s="4">
        <v>6</v>
      </c>
      <c r="G23" s="16">
        <v>800</v>
      </c>
      <c r="H23" s="16">
        <f t="shared" si="0"/>
        <v>4800</v>
      </c>
      <c r="I23" s="14" t="s">
        <v>498</v>
      </c>
      <c r="J23" s="1">
        <v>0.625</v>
      </c>
      <c r="K23" s="4" t="s">
        <v>169</v>
      </c>
    </row>
    <row r="24" spans="1:11" x14ac:dyDescent="0.25">
      <c r="A24" s="3" t="s">
        <v>294</v>
      </c>
      <c r="B24" s="4" t="s">
        <v>463</v>
      </c>
      <c r="C24" s="3" t="s">
        <v>378</v>
      </c>
      <c r="D24" s="4" t="s">
        <v>452</v>
      </c>
      <c r="E24" s="11">
        <v>44256</v>
      </c>
      <c r="F24" s="4">
        <v>6</v>
      </c>
      <c r="G24" s="16">
        <v>700</v>
      </c>
      <c r="H24" s="16">
        <f t="shared" si="0"/>
        <v>4200</v>
      </c>
      <c r="I24" s="14" t="s">
        <v>489</v>
      </c>
      <c r="J24" s="1">
        <v>0.66666666666666663</v>
      </c>
      <c r="K24" s="4" t="s">
        <v>7</v>
      </c>
    </row>
    <row r="25" spans="1:11" x14ac:dyDescent="0.25">
      <c r="A25" s="3" t="s">
        <v>342</v>
      </c>
      <c r="B25" s="4" t="s">
        <v>463</v>
      </c>
      <c r="C25" s="3" t="s">
        <v>380</v>
      </c>
      <c r="D25" s="4" t="s">
        <v>446</v>
      </c>
      <c r="E25" s="11">
        <v>44272</v>
      </c>
      <c r="F25" s="4">
        <v>3</v>
      </c>
      <c r="G25" s="16">
        <v>800</v>
      </c>
      <c r="H25" s="16">
        <f t="shared" si="0"/>
        <v>2400</v>
      </c>
      <c r="I25" s="14" t="s">
        <v>490</v>
      </c>
      <c r="J25" s="1">
        <v>0.41666666666666669</v>
      </c>
      <c r="K25" s="4" t="s">
        <v>175</v>
      </c>
    </row>
    <row r="26" spans="1:11" x14ac:dyDescent="0.25">
      <c r="A26" s="3" t="s">
        <v>246</v>
      </c>
      <c r="B26" s="4" t="s">
        <v>463</v>
      </c>
      <c r="C26" s="3" t="s">
        <v>386</v>
      </c>
      <c r="D26" s="4" t="s">
        <v>443</v>
      </c>
      <c r="E26" s="11">
        <v>44277</v>
      </c>
      <c r="F26" s="4">
        <v>6</v>
      </c>
      <c r="G26" s="16">
        <v>800</v>
      </c>
      <c r="H26" s="16">
        <f t="shared" si="0"/>
        <v>4800</v>
      </c>
      <c r="I26" s="14" t="s">
        <v>491</v>
      </c>
      <c r="J26" s="1">
        <v>0.45833333333333298</v>
      </c>
      <c r="K26" s="4" t="s">
        <v>169</v>
      </c>
    </row>
    <row r="27" spans="1:11" x14ac:dyDescent="0.25">
      <c r="A27" s="3" t="s">
        <v>285</v>
      </c>
      <c r="B27" s="4" t="s">
        <v>462</v>
      </c>
      <c r="C27" s="3" t="s">
        <v>389</v>
      </c>
      <c r="D27" s="4" t="s">
        <v>455</v>
      </c>
      <c r="E27" s="11">
        <v>44284</v>
      </c>
      <c r="F27" s="4">
        <v>9</v>
      </c>
      <c r="G27" s="16">
        <v>800</v>
      </c>
      <c r="H27" s="16">
        <f t="shared" si="0"/>
        <v>7200</v>
      </c>
      <c r="I27" s="14" t="s">
        <v>28</v>
      </c>
      <c r="J27" s="1">
        <v>0.58333333333333337</v>
      </c>
      <c r="K27" s="4" t="s">
        <v>163</v>
      </c>
    </row>
    <row r="28" spans="1:11" x14ac:dyDescent="0.25">
      <c r="A28" s="3" t="s">
        <v>222</v>
      </c>
      <c r="B28" s="4" t="s">
        <v>462</v>
      </c>
      <c r="C28" s="3" t="s">
        <v>386</v>
      </c>
      <c r="D28" s="4" t="s">
        <v>443</v>
      </c>
      <c r="E28" s="11">
        <v>44281</v>
      </c>
      <c r="F28" s="4">
        <v>6</v>
      </c>
      <c r="G28" s="16">
        <v>800</v>
      </c>
      <c r="H28" s="16">
        <f t="shared" si="0"/>
        <v>4800</v>
      </c>
      <c r="I28" s="14" t="s">
        <v>27</v>
      </c>
      <c r="J28" s="1">
        <v>0.33333333333333331</v>
      </c>
      <c r="K28" s="4" t="s">
        <v>169</v>
      </c>
    </row>
    <row r="29" spans="1:11" x14ac:dyDescent="0.25">
      <c r="A29" s="3" t="s">
        <v>227</v>
      </c>
      <c r="B29" s="4" t="s">
        <v>462</v>
      </c>
      <c r="C29" s="3" t="s">
        <v>381</v>
      </c>
      <c r="D29" s="4" t="s">
        <v>447</v>
      </c>
      <c r="E29" s="11">
        <v>44273</v>
      </c>
      <c r="F29" s="4">
        <v>6</v>
      </c>
      <c r="G29" s="16">
        <v>1000</v>
      </c>
      <c r="H29" s="16">
        <f t="shared" si="0"/>
        <v>6000</v>
      </c>
      <c r="I29" s="14" t="s">
        <v>492</v>
      </c>
      <c r="J29" s="1">
        <v>0.375</v>
      </c>
      <c r="K29" s="4" t="s">
        <v>176</v>
      </c>
    </row>
    <row r="30" spans="1:11" x14ac:dyDescent="0.25">
      <c r="A30" s="3" t="s">
        <v>270</v>
      </c>
      <c r="B30" s="4" t="s">
        <v>463</v>
      </c>
      <c r="C30" s="3" t="s">
        <v>383</v>
      </c>
      <c r="D30" s="4" t="s">
        <v>454</v>
      </c>
      <c r="E30" s="11">
        <v>44281</v>
      </c>
      <c r="F30" s="4">
        <v>3</v>
      </c>
      <c r="G30" s="16">
        <v>800</v>
      </c>
      <c r="H30" s="16">
        <f t="shared" si="0"/>
        <v>2400</v>
      </c>
      <c r="I30" s="14" t="s">
        <v>485</v>
      </c>
      <c r="J30" s="1">
        <v>0.41666666666666669</v>
      </c>
      <c r="K30" s="4" t="s">
        <v>172</v>
      </c>
    </row>
    <row r="31" spans="1:11" x14ac:dyDescent="0.25">
      <c r="A31" s="3" t="s">
        <v>353</v>
      </c>
      <c r="B31" s="4" t="s">
        <v>466</v>
      </c>
      <c r="C31" s="3" t="s">
        <v>383</v>
      </c>
      <c r="D31" s="4" t="s">
        <v>454</v>
      </c>
      <c r="E31" s="11">
        <v>44280</v>
      </c>
      <c r="F31" s="4">
        <v>3</v>
      </c>
      <c r="G31" s="16">
        <v>800</v>
      </c>
      <c r="H31" s="16">
        <f t="shared" si="0"/>
        <v>2400</v>
      </c>
      <c r="I31" s="14" t="s">
        <v>500</v>
      </c>
      <c r="J31" s="1">
        <v>0.45833333333333331</v>
      </c>
      <c r="K31" s="4" t="s">
        <v>172</v>
      </c>
    </row>
    <row r="32" spans="1:11" x14ac:dyDescent="0.25">
      <c r="A32" s="3" t="s">
        <v>352</v>
      </c>
      <c r="B32" s="4" t="s">
        <v>463</v>
      </c>
      <c r="C32" s="3" t="s">
        <v>378</v>
      </c>
      <c r="D32" s="4" t="s">
        <v>452</v>
      </c>
      <c r="E32" s="11">
        <v>44259</v>
      </c>
      <c r="F32" s="4">
        <v>6</v>
      </c>
      <c r="G32" s="16">
        <v>700</v>
      </c>
      <c r="H32" s="16">
        <f t="shared" si="0"/>
        <v>4200</v>
      </c>
      <c r="I32" s="14" t="s">
        <v>487</v>
      </c>
      <c r="J32" s="1">
        <v>0.41666666666666669</v>
      </c>
      <c r="K32" s="4" t="s">
        <v>7</v>
      </c>
    </row>
    <row r="33" spans="1:11" x14ac:dyDescent="0.25">
      <c r="A33" s="3" t="s">
        <v>341</v>
      </c>
      <c r="B33" s="4" t="s">
        <v>460</v>
      </c>
      <c r="C33" s="3" t="s">
        <v>376</v>
      </c>
      <c r="D33" s="4" t="s">
        <v>441</v>
      </c>
      <c r="E33" s="11">
        <v>44279</v>
      </c>
      <c r="F33" s="4">
        <v>6</v>
      </c>
      <c r="G33" s="16">
        <v>600</v>
      </c>
      <c r="H33" s="16">
        <f t="shared" si="0"/>
        <v>3600</v>
      </c>
      <c r="I33" s="14" t="s">
        <v>498</v>
      </c>
      <c r="J33" s="1">
        <v>0.45833333333333331</v>
      </c>
      <c r="K33" s="4" t="s">
        <v>3</v>
      </c>
    </row>
    <row r="34" spans="1:11" x14ac:dyDescent="0.25">
      <c r="A34" s="3" t="s">
        <v>225</v>
      </c>
      <c r="B34" s="4" t="s">
        <v>463</v>
      </c>
      <c r="C34" s="3" t="s">
        <v>393</v>
      </c>
      <c r="D34" s="4" t="s">
        <v>439</v>
      </c>
      <c r="E34" s="11">
        <v>44278</v>
      </c>
      <c r="F34" s="4">
        <v>9</v>
      </c>
      <c r="G34" s="16">
        <v>800</v>
      </c>
      <c r="H34" s="16">
        <f t="shared" si="0"/>
        <v>7200</v>
      </c>
      <c r="I34" s="14" t="s">
        <v>489</v>
      </c>
      <c r="J34" s="1">
        <v>0.58333333333333337</v>
      </c>
      <c r="K34" s="4" t="s">
        <v>15</v>
      </c>
    </row>
    <row r="35" spans="1:11" x14ac:dyDescent="0.25">
      <c r="A35" s="3" t="s">
        <v>266</v>
      </c>
      <c r="B35" s="4" t="s">
        <v>463</v>
      </c>
      <c r="C35" s="3" t="s">
        <v>384</v>
      </c>
      <c r="D35" s="4" t="s">
        <v>458</v>
      </c>
      <c r="E35" s="11">
        <v>44256</v>
      </c>
      <c r="F35" s="4">
        <v>6</v>
      </c>
      <c r="G35" s="16">
        <v>1000</v>
      </c>
      <c r="H35" s="16">
        <f t="shared" si="0"/>
        <v>6000</v>
      </c>
      <c r="I35" s="14" t="s">
        <v>495</v>
      </c>
      <c r="J35" s="1">
        <v>0.58333333333333337</v>
      </c>
      <c r="K35" s="4" t="s">
        <v>173</v>
      </c>
    </row>
    <row r="36" spans="1:11" x14ac:dyDescent="0.25">
      <c r="A36" s="3" t="s">
        <v>325</v>
      </c>
      <c r="B36" s="4" t="s">
        <v>462</v>
      </c>
      <c r="C36" s="3" t="s">
        <v>386</v>
      </c>
      <c r="D36" s="4" t="s">
        <v>443</v>
      </c>
      <c r="E36" s="11">
        <v>44284</v>
      </c>
      <c r="F36" s="4">
        <v>6</v>
      </c>
      <c r="G36" s="16">
        <v>800</v>
      </c>
      <c r="H36" s="16">
        <f t="shared" si="0"/>
        <v>4800</v>
      </c>
      <c r="I36" s="14" t="s">
        <v>496</v>
      </c>
      <c r="J36" s="1">
        <v>0.33333333333333331</v>
      </c>
      <c r="K36" s="4" t="s">
        <v>169</v>
      </c>
    </row>
    <row r="37" spans="1:11" x14ac:dyDescent="0.25">
      <c r="A37" s="3" t="s">
        <v>307</v>
      </c>
      <c r="B37" s="4" t="s">
        <v>463</v>
      </c>
      <c r="C37" s="3" t="s">
        <v>381</v>
      </c>
      <c r="D37" s="4" t="s">
        <v>447</v>
      </c>
      <c r="E37" s="11">
        <v>44278</v>
      </c>
      <c r="F37" s="4">
        <v>6</v>
      </c>
      <c r="G37" s="16">
        <v>1000</v>
      </c>
      <c r="H37" s="16">
        <f t="shared" si="0"/>
        <v>6000</v>
      </c>
      <c r="I37" s="14" t="s">
        <v>497</v>
      </c>
      <c r="J37" s="1">
        <v>0.41666666666666669</v>
      </c>
      <c r="K37" s="4" t="s">
        <v>176</v>
      </c>
    </row>
    <row r="38" spans="1:11" x14ac:dyDescent="0.25">
      <c r="A38" s="3" t="s">
        <v>252</v>
      </c>
      <c r="B38" s="4" t="s">
        <v>463</v>
      </c>
      <c r="C38" s="3" t="s">
        <v>386</v>
      </c>
      <c r="D38" s="4" t="s">
        <v>443</v>
      </c>
      <c r="E38" s="11">
        <v>44265</v>
      </c>
      <c r="F38" s="4">
        <v>6</v>
      </c>
      <c r="G38" s="16">
        <v>800</v>
      </c>
      <c r="H38" s="16">
        <f t="shared" si="0"/>
        <v>4800</v>
      </c>
      <c r="I38" s="14" t="s">
        <v>26</v>
      </c>
      <c r="J38" s="1">
        <v>0.45833333333333331</v>
      </c>
      <c r="K38" s="4" t="s">
        <v>169</v>
      </c>
    </row>
    <row r="39" spans="1:11" x14ac:dyDescent="0.25">
      <c r="A39" s="3" t="s">
        <v>216</v>
      </c>
      <c r="B39" s="4" t="s">
        <v>462</v>
      </c>
      <c r="C39" s="3" t="s">
        <v>378</v>
      </c>
      <c r="D39" s="4" t="s">
        <v>452</v>
      </c>
      <c r="E39" s="11">
        <v>44260</v>
      </c>
      <c r="F39" s="4">
        <v>6</v>
      </c>
      <c r="G39" s="16">
        <v>700</v>
      </c>
      <c r="H39" s="16">
        <f t="shared" si="0"/>
        <v>4200</v>
      </c>
      <c r="I39" s="14" t="s">
        <v>484</v>
      </c>
      <c r="J39" s="1">
        <v>0.58333333333333337</v>
      </c>
      <c r="K39" s="4" t="s">
        <v>7</v>
      </c>
    </row>
    <row r="40" spans="1:11" x14ac:dyDescent="0.25">
      <c r="A40" s="3" t="s">
        <v>289</v>
      </c>
      <c r="B40" s="4" t="s">
        <v>460</v>
      </c>
      <c r="C40" s="3" t="s">
        <v>376</v>
      </c>
      <c r="D40" s="4" t="s">
        <v>441</v>
      </c>
      <c r="E40" s="11">
        <v>44283</v>
      </c>
      <c r="F40" s="4">
        <v>6</v>
      </c>
      <c r="G40" s="16">
        <v>600</v>
      </c>
      <c r="H40" s="16">
        <f t="shared" si="0"/>
        <v>3600</v>
      </c>
      <c r="I40" s="14" t="s">
        <v>499</v>
      </c>
      <c r="J40" s="1">
        <v>0.41666666666666669</v>
      </c>
      <c r="K40" s="4" t="s">
        <v>3</v>
      </c>
    </row>
    <row r="41" spans="1:11" x14ac:dyDescent="0.25">
      <c r="A41" s="3" t="s">
        <v>243</v>
      </c>
      <c r="B41" s="4" t="s">
        <v>463</v>
      </c>
      <c r="C41" s="3" t="s">
        <v>381</v>
      </c>
      <c r="D41" s="4" t="s">
        <v>447</v>
      </c>
      <c r="E41" s="11">
        <v>44270</v>
      </c>
      <c r="F41" s="4">
        <v>6</v>
      </c>
      <c r="G41" s="16">
        <v>1000</v>
      </c>
      <c r="H41" s="16">
        <f t="shared" si="0"/>
        <v>6000</v>
      </c>
      <c r="I41" s="14" t="s">
        <v>486</v>
      </c>
      <c r="J41" s="1">
        <v>0.45833333333333331</v>
      </c>
      <c r="K41" s="4" t="s">
        <v>176</v>
      </c>
    </row>
    <row r="42" spans="1:11" x14ac:dyDescent="0.25">
      <c r="A42" s="3" t="s">
        <v>287</v>
      </c>
      <c r="B42" s="4" t="s">
        <v>461</v>
      </c>
      <c r="C42" s="3" t="s">
        <v>377</v>
      </c>
      <c r="D42" s="4" t="s">
        <v>442</v>
      </c>
      <c r="E42" s="11">
        <v>44274</v>
      </c>
      <c r="F42" s="4">
        <v>9</v>
      </c>
      <c r="G42" s="16">
        <v>700</v>
      </c>
      <c r="H42" s="16">
        <f t="shared" si="0"/>
        <v>6300</v>
      </c>
      <c r="I42" s="14" t="s">
        <v>487</v>
      </c>
      <c r="J42" s="2">
        <v>0.58333333333333337</v>
      </c>
      <c r="K42" s="4" t="s">
        <v>5</v>
      </c>
    </row>
    <row r="43" spans="1:11" x14ac:dyDescent="0.25">
      <c r="A43" s="3" t="s">
        <v>349</v>
      </c>
      <c r="B43" s="4" t="s">
        <v>463</v>
      </c>
      <c r="C43" s="3" t="s">
        <v>385</v>
      </c>
      <c r="D43" s="4" t="s">
        <v>459</v>
      </c>
      <c r="E43" s="11">
        <v>44286</v>
      </c>
      <c r="F43" s="4">
        <v>9</v>
      </c>
      <c r="G43" s="16">
        <v>1200</v>
      </c>
      <c r="H43" s="16">
        <f t="shared" si="0"/>
        <v>10800</v>
      </c>
      <c r="I43" s="14" t="s">
        <v>488</v>
      </c>
      <c r="J43" s="1">
        <v>0.33333333333333331</v>
      </c>
      <c r="K43" s="4" t="s">
        <v>174</v>
      </c>
    </row>
    <row r="44" spans="1:11" x14ac:dyDescent="0.25">
      <c r="A44" s="3" t="s">
        <v>261</v>
      </c>
      <c r="B44" s="4" t="s">
        <v>464</v>
      </c>
      <c r="C44" s="3" t="s">
        <v>379</v>
      </c>
      <c r="D44" s="4" t="s">
        <v>453</v>
      </c>
      <c r="E44" s="11">
        <v>44268</v>
      </c>
      <c r="F44" s="4">
        <v>9</v>
      </c>
      <c r="G44" s="16">
        <v>800</v>
      </c>
      <c r="H44" s="16">
        <f t="shared" si="0"/>
        <v>7200</v>
      </c>
      <c r="I44" s="14" t="s">
        <v>494</v>
      </c>
      <c r="J44" s="1">
        <v>0.41666666666666669</v>
      </c>
      <c r="K44" s="4" t="s">
        <v>9</v>
      </c>
    </row>
    <row r="45" spans="1:11" x14ac:dyDescent="0.25">
      <c r="A45" s="3" t="s">
        <v>315</v>
      </c>
      <c r="B45" s="4" t="s">
        <v>463</v>
      </c>
      <c r="C45" s="3" t="s">
        <v>381</v>
      </c>
      <c r="D45" s="4" t="s">
        <v>447</v>
      </c>
      <c r="E45" s="11">
        <v>44285</v>
      </c>
      <c r="F45" s="4">
        <v>6</v>
      </c>
      <c r="G45" s="16">
        <v>1000</v>
      </c>
      <c r="H45" s="16">
        <f t="shared" si="0"/>
        <v>6000</v>
      </c>
      <c r="I45" s="14" t="s">
        <v>490</v>
      </c>
      <c r="J45" s="1">
        <v>0.45833333333333331</v>
      </c>
      <c r="K45" s="4" t="s">
        <v>176</v>
      </c>
    </row>
    <row r="46" spans="1:11" x14ac:dyDescent="0.25">
      <c r="A46" s="3" t="s">
        <v>253</v>
      </c>
      <c r="B46" s="4" t="s">
        <v>462</v>
      </c>
      <c r="C46" s="3" t="s">
        <v>378</v>
      </c>
      <c r="D46" s="4" t="s">
        <v>452</v>
      </c>
      <c r="E46" s="11">
        <v>44269</v>
      </c>
      <c r="F46" s="4">
        <v>6</v>
      </c>
      <c r="G46" s="16">
        <v>700</v>
      </c>
      <c r="H46" s="16">
        <f t="shared" si="0"/>
        <v>4200</v>
      </c>
      <c r="I46" s="14" t="s">
        <v>496</v>
      </c>
      <c r="J46" s="1">
        <v>0.58333333333333337</v>
      </c>
      <c r="K46" s="4" t="s">
        <v>7</v>
      </c>
    </row>
    <row r="47" spans="1:11" x14ac:dyDescent="0.25">
      <c r="A47" s="3" t="s">
        <v>212</v>
      </c>
      <c r="B47" s="4" t="s">
        <v>463</v>
      </c>
      <c r="C47" s="3" t="s">
        <v>378</v>
      </c>
      <c r="D47" s="4" t="s">
        <v>452</v>
      </c>
      <c r="E47" s="11">
        <v>44256</v>
      </c>
      <c r="F47" s="4">
        <v>6</v>
      </c>
      <c r="G47" s="16">
        <v>700</v>
      </c>
      <c r="H47" s="16">
        <f t="shared" si="0"/>
        <v>4200</v>
      </c>
      <c r="I47" s="14" t="s">
        <v>28</v>
      </c>
      <c r="J47" s="1">
        <v>0.33333333333333331</v>
      </c>
      <c r="K47" s="4" t="s">
        <v>7</v>
      </c>
    </row>
    <row r="48" spans="1:11" x14ac:dyDescent="0.25">
      <c r="A48" s="3" t="s">
        <v>297</v>
      </c>
      <c r="B48" s="4" t="s">
        <v>461</v>
      </c>
      <c r="C48" s="3" t="s">
        <v>376</v>
      </c>
      <c r="D48" s="4" t="s">
        <v>441</v>
      </c>
      <c r="E48" s="11">
        <v>44279</v>
      </c>
      <c r="F48" s="4">
        <v>6</v>
      </c>
      <c r="G48" s="16">
        <v>600</v>
      </c>
      <c r="H48" s="16">
        <f t="shared" si="0"/>
        <v>3600</v>
      </c>
      <c r="I48" s="14" t="s">
        <v>26</v>
      </c>
      <c r="J48" s="1">
        <v>0.41666666666666669</v>
      </c>
      <c r="K48" s="4" t="s">
        <v>3</v>
      </c>
    </row>
    <row r="49" spans="1:11" x14ac:dyDescent="0.25">
      <c r="A49" s="3" t="s">
        <v>302</v>
      </c>
      <c r="B49" s="4" t="s">
        <v>464</v>
      </c>
      <c r="C49" s="3" t="s">
        <v>383</v>
      </c>
      <c r="D49" s="4" t="s">
        <v>454</v>
      </c>
      <c r="E49" s="11">
        <v>44265</v>
      </c>
      <c r="F49" s="4">
        <v>3</v>
      </c>
      <c r="G49" s="16">
        <v>800</v>
      </c>
      <c r="H49" s="16">
        <f t="shared" si="0"/>
        <v>2400</v>
      </c>
      <c r="I49" s="14" t="s">
        <v>492</v>
      </c>
      <c r="J49" s="1">
        <v>0.45833333333333331</v>
      </c>
      <c r="K49" s="4" t="s">
        <v>172</v>
      </c>
    </row>
    <row r="50" spans="1:11" x14ac:dyDescent="0.25">
      <c r="A50" s="3" t="s">
        <v>254</v>
      </c>
      <c r="B50" s="4" t="s">
        <v>461</v>
      </c>
      <c r="C50" s="3" t="s">
        <v>377</v>
      </c>
      <c r="D50" s="4" t="s">
        <v>442</v>
      </c>
      <c r="E50" s="11">
        <v>44276</v>
      </c>
      <c r="F50" s="4">
        <v>9</v>
      </c>
      <c r="G50" s="16">
        <v>700</v>
      </c>
      <c r="H50" s="16">
        <f t="shared" si="0"/>
        <v>6300</v>
      </c>
      <c r="I50" s="14" t="s">
        <v>485</v>
      </c>
      <c r="J50" s="1">
        <v>0.58333333333333337</v>
      </c>
      <c r="K50" s="4" t="s">
        <v>5</v>
      </c>
    </row>
    <row r="51" spans="1:11" x14ac:dyDescent="0.25">
      <c r="A51" s="3" t="s">
        <v>255</v>
      </c>
      <c r="B51" s="4" t="s">
        <v>463</v>
      </c>
      <c r="C51" s="3" t="s">
        <v>386</v>
      </c>
      <c r="D51" s="4" t="s">
        <v>443</v>
      </c>
      <c r="E51" s="11">
        <v>44257</v>
      </c>
      <c r="F51" s="4">
        <v>6</v>
      </c>
      <c r="G51" s="16">
        <v>800</v>
      </c>
      <c r="H51" s="16">
        <f t="shared" si="0"/>
        <v>4800</v>
      </c>
      <c r="I51" s="14" t="s">
        <v>486</v>
      </c>
      <c r="J51" s="1">
        <v>0.33333333333333331</v>
      </c>
      <c r="K51" s="4" t="s">
        <v>169</v>
      </c>
    </row>
    <row r="52" spans="1:11" x14ac:dyDescent="0.25">
      <c r="A52" s="3" t="s">
        <v>312</v>
      </c>
      <c r="B52" s="4" t="s">
        <v>463</v>
      </c>
      <c r="C52" s="3" t="s">
        <v>379</v>
      </c>
      <c r="D52" s="4" t="s">
        <v>453</v>
      </c>
      <c r="E52" s="11">
        <v>44274</v>
      </c>
      <c r="F52" s="4">
        <v>9</v>
      </c>
      <c r="G52" s="16">
        <v>800</v>
      </c>
      <c r="H52" s="16">
        <f t="shared" si="0"/>
        <v>7200</v>
      </c>
      <c r="I52" s="14" t="s">
        <v>493</v>
      </c>
      <c r="J52" s="1">
        <v>0.375</v>
      </c>
      <c r="K52" s="4" t="s">
        <v>9</v>
      </c>
    </row>
    <row r="53" spans="1:11" x14ac:dyDescent="0.25">
      <c r="A53" s="3" t="s">
        <v>346</v>
      </c>
      <c r="B53" s="4" t="s">
        <v>463</v>
      </c>
      <c r="C53" s="3" t="s">
        <v>386</v>
      </c>
      <c r="D53" s="4" t="s">
        <v>443</v>
      </c>
      <c r="E53" s="11">
        <v>44258</v>
      </c>
      <c r="F53" s="4">
        <v>6</v>
      </c>
      <c r="G53" s="16">
        <v>800</v>
      </c>
      <c r="H53" s="16">
        <f t="shared" si="0"/>
        <v>4800</v>
      </c>
      <c r="I53" s="14" t="s">
        <v>498</v>
      </c>
      <c r="J53" s="1">
        <v>0.41666666666666669</v>
      </c>
      <c r="K53" s="4" t="s">
        <v>169</v>
      </c>
    </row>
    <row r="54" spans="1:11" x14ac:dyDescent="0.25">
      <c r="A54" s="3" t="s">
        <v>207</v>
      </c>
      <c r="B54" s="4" t="s">
        <v>461</v>
      </c>
      <c r="C54" s="3" t="s">
        <v>377</v>
      </c>
      <c r="D54" s="4" t="s">
        <v>442</v>
      </c>
      <c r="E54" s="11">
        <v>44257</v>
      </c>
      <c r="F54" s="4">
        <v>9</v>
      </c>
      <c r="G54" s="16">
        <v>700</v>
      </c>
      <c r="H54" s="16">
        <f t="shared" si="0"/>
        <v>6300</v>
      </c>
      <c r="I54" s="14" t="s">
        <v>489</v>
      </c>
      <c r="J54" s="1">
        <v>0.45833333333333331</v>
      </c>
      <c r="K54" s="4" t="s">
        <v>5</v>
      </c>
    </row>
    <row r="55" spans="1:11" x14ac:dyDescent="0.25">
      <c r="A55" s="3" t="s">
        <v>279</v>
      </c>
      <c r="B55" s="4" t="s">
        <v>463</v>
      </c>
      <c r="C55" s="3" t="s">
        <v>379</v>
      </c>
      <c r="D55" s="4" t="s">
        <v>453</v>
      </c>
      <c r="E55" s="11">
        <v>44276</v>
      </c>
      <c r="F55" s="4">
        <v>9</v>
      </c>
      <c r="G55" s="16">
        <v>800</v>
      </c>
      <c r="H55" s="16">
        <f t="shared" si="0"/>
        <v>7200</v>
      </c>
      <c r="I55" s="14" t="s">
        <v>490</v>
      </c>
      <c r="J55" s="1">
        <v>0.58333333333333337</v>
      </c>
      <c r="K55" s="4" t="s">
        <v>9</v>
      </c>
    </row>
    <row r="56" spans="1:11" x14ac:dyDescent="0.25">
      <c r="A56" s="3" t="s">
        <v>329</v>
      </c>
      <c r="B56" s="4" t="s">
        <v>463</v>
      </c>
      <c r="C56" s="3" t="s">
        <v>381</v>
      </c>
      <c r="D56" s="4" t="s">
        <v>447</v>
      </c>
      <c r="E56" s="11">
        <v>44275</v>
      </c>
      <c r="F56" s="4">
        <v>6</v>
      </c>
      <c r="G56" s="16">
        <v>1000</v>
      </c>
      <c r="H56" s="16">
        <f t="shared" si="0"/>
        <v>6000</v>
      </c>
      <c r="I56" s="14" t="s">
        <v>491</v>
      </c>
      <c r="J56" s="1">
        <v>0.33333333333333331</v>
      </c>
      <c r="K56" s="4" t="s">
        <v>176</v>
      </c>
    </row>
    <row r="57" spans="1:11" x14ac:dyDescent="0.25">
      <c r="A57" s="3" t="s">
        <v>242</v>
      </c>
      <c r="B57" s="4" t="s">
        <v>464</v>
      </c>
      <c r="C57" s="3" t="s">
        <v>390</v>
      </c>
      <c r="D57" s="4" t="s">
        <v>456</v>
      </c>
      <c r="E57" s="11">
        <v>44267</v>
      </c>
      <c r="F57" s="4">
        <v>12</v>
      </c>
      <c r="G57" s="16">
        <v>900</v>
      </c>
      <c r="H57" s="16">
        <f t="shared" si="0"/>
        <v>10800</v>
      </c>
      <c r="I57" s="14" t="s">
        <v>28</v>
      </c>
      <c r="J57" s="1">
        <v>0.375</v>
      </c>
      <c r="K57" s="4" t="s">
        <v>164</v>
      </c>
    </row>
    <row r="58" spans="1:11" x14ac:dyDescent="0.25">
      <c r="A58" s="3" t="s">
        <v>231</v>
      </c>
      <c r="B58" s="4" t="s">
        <v>464</v>
      </c>
      <c r="C58" s="3" t="s">
        <v>380</v>
      </c>
      <c r="D58" s="4" t="s">
        <v>446</v>
      </c>
      <c r="E58" s="11">
        <v>44273</v>
      </c>
      <c r="F58" s="4">
        <v>3</v>
      </c>
      <c r="G58" s="16">
        <v>800</v>
      </c>
      <c r="H58" s="16">
        <f t="shared" si="0"/>
        <v>2400</v>
      </c>
      <c r="I58" s="14" t="s">
        <v>26</v>
      </c>
      <c r="J58" s="1">
        <v>0.41666666666666669</v>
      </c>
      <c r="K58" s="4" t="s">
        <v>175</v>
      </c>
    </row>
    <row r="59" spans="1:11" x14ac:dyDescent="0.25">
      <c r="A59" s="3" t="s">
        <v>339</v>
      </c>
      <c r="B59" s="4" t="s">
        <v>463</v>
      </c>
      <c r="C59" s="3" t="s">
        <v>389</v>
      </c>
      <c r="D59" s="4" t="s">
        <v>455</v>
      </c>
      <c r="E59" s="11">
        <v>44260</v>
      </c>
      <c r="F59" s="4">
        <v>9</v>
      </c>
      <c r="G59" s="16">
        <v>800</v>
      </c>
      <c r="H59" s="16">
        <f t="shared" si="0"/>
        <v>7200</v>
      </c>
      <c r="I59" s="14" t="s">
        <v>484</v>
      </c>
      <c r="J59" s="1">
        <v>0.45833333333333331</v>
      </c>
      <c r="K59" s="4" t="s">
        <v>163</v>
      </c>
    </row>
    <row r="60" spans="1:11" x14ac:dyDescent="0.25">
      <c r="A60" s="3" t="s">
        <v>365</v>
      </c>
      <c r="B60" s="4" t="s">
        <v>463</v>
      </c>
      <c r="C60" s="3" t="s">
        <v>393</v>
      </c>
      <c r="D60" s="4" t="s">
        <v>439</v>
      </c>
      <c r="E60" s="11">
        <v>44273</v>
      </c>
      <c r="F60" s="4">
        <v>9</v>
      </c>
      <c r="G60" s="16">
        <v>800</v>
      </c>
      <c r="H60" s="16">
        <f t="shared" si="0"/>
        <v>7200</v>
      </c>
      <c r="I60" s="14" t="s">
        <v>499</v>
      </c>
      <c r="J60" s="1">
        <v>0.58333333333333337</v>
      </c>
      <c r="K60" s="4" t="s">
        <v>15</v>
      </c>
    </row>
    <row r="61" spans="1:11" x14ac:dyDescent="0.25">
      <c r="A61" s="3" t="s">
        <v>300</v>
      </c>
      <c r="B61" s="4" t="s">
        <v>463</v>
      </c>
      <c r="C61" s="3" t="s">
        <v>384</v>
      </c>
      <c r="D61" s="4" t="s">
        <v>458</v>
      </c>
      <c r="E61" s="11">
        <v>44274</v>
      </c>
      <c r="F61" s="4">
        <v>6</v>
      </c>
      <c r="G61" s="16">
        <v>1000</v>
      </c>
      <c r="H61" s="16">
        <f t="shared" si="0"/>
        <v>6000</v>
      </c>
      <c r="I61" s="14" t="s">
        <v>500</v>
      </c>
      <c r="J61" s="1">
        <v>0.58333333333333337</v>
      </c>
      <c r="K61" s="4" t="s">
        <v>173</v>
      </c>
    </row>
    <row r="62" spans="1:11" x14ac:dyDescent="0.25">
      <c r="A62" s="3" t="s">
        <v>274</v>
      </c>
      <c r="B62" s="4" t="s">
        <v>463</v>
      </c>
      <c r="C62" s="3" t="s">
        <v>389</v>
      </c>
      <c r="D62" s="4" t="s">
        <v>455</v>
      </c>
      <c r="E62" s="11">
        <v>44256</v>
      </c>
      <c r="F62" s="4">
        <v>9</v>
      </c>
      <c r="G62" s="16">
        <v>800</v>
      </c>
      <c r="H62" s="16">
        <f t="shared" si="0"/>
        <v>7200</v>
      </c>
      <c r="I62" s="14" t="s">
        <v>487</v>
      </c>
      <c r="J62" s="1">
        <v>0.625</v>
      </c>
      <c r="K62" s="4" t="s">
        <v>163</v>
      </c>
    </row>
    <row r="63" spans="1:11" x14ac:dyDescent="0.25">
      <c r="A63" s="3" t="s">
        <v>310</v>
      </c>
      <c r="B63" s="4" t="s">
        <v>463</v>
      </c>
      <c r="C63" s="3" t="s">
        <v>380</v>
      </c>
      <c r="D63" s="4" t="s">
        <v>446</v>
      </c>
      <c r="E63" s="11">
        <v>44256</v>
      </c>
      <c r="F63" s="4">
        <v>3</v>
      </c>
      <c r="G63" s="16">
        <v>800</v>
      </c>
      <c r="H63" s="16">
        <f t="shared" si="0"/>
        <v>2400</v>
      </c>
      <c r="I63" s="14" t="s">
        <v>488</v>
      </c>
      <c r="J63" s="1">
        <v>0.66666666666666663</v>
      </c>
      <c r="K63" s="4" t="s">
        <v>175</v>
      </c>
    </row>
    <row r="64" spans="1:11" x14ac:dyDescent="0.25">
      <c r="A64" s="3" t="s">
        <v>257</v>
      </c>
      <c r="B64" s="4" t="s">
        <v>463</v>
      </c>
      <c r="C64" s="3" t="s">
        <v>389</v>
      </c>
      <c r="D64" s="4" t="s">
        <v>455</v>
      </c>
      <c r="E64" s="11">
        <v>44268</v>
      </c>
      <c r="F64" s="4">
        <v>9</v>
      </c>
      <c r="G64" s="16">
        <v>800</v>
      </c>
      <c r="H64" s="16">
        <f t="shared" si="0"/>
        <v>7200</v>
      </c>
      <c r="I64" s="14" t="s">
        <v>489</v>
      </c>
      <c r="J64" s="1">
        <v>0.41666666666666669</v>
      </c>
      <c r="K64" s="4" t="s">
        <v>163</v>
      </c>
    </row>
    <row r="65" spans="1:11" x14ac:dyDescent="0.25">
      <c r="A65" s="3" t="s">
        <v>368</v>
      </c>
      <c r="B65" s="4" t="s">
        <v>463</v>
      </c>
      <c r="C65" s="3" t="s">
        <v>390</v>
      </c>
      <c r="D65" s="4" t="s">
        <v>456</v>
      </c>
      <c r="E65" s="11">
        <v>44273</v>
      </c>
      <c r="F65" s="4">
        <v>12</v>
      </c>
      <c r="G65" s="16">
        <v>900</v>
      </c>
      <c r="H65" s="16">
        <f t="shared" si="0"/>
        <v>10800</v>
      </c>
      <c r="I65" s="14" t="s">
        <v>490</v>
      </c>
      <c r="J65" s="1">
        <v>0.45833333333333298</v>
      </c>
      <c r="K65" s="4" t="s">
        <v>164</v>
      </c>
    </row>
    <row r="66" spans="1:11" x14ac:dyDescent="0.25">
      <c r="A66" s="3" t="s">
        <v>195</v>
      </c>
      <c r="B66" s="4" t="s">
        <v>463</v>
      </c>
      <c r="C66" s="3" t="s">
        <v>379</v>
      </c>
      <c r="D66" s="4" t="s">
        <v>453</v>
      </c>
      <c r="E66" s="11">
        <v>44263</v>
      </c>
      <c r="F66" s="4">
        <v>9</v>
      </c>
      <c r="G66" s="16">
        <v>800</v>
      </c>
      <c r="H66" s="16">
        <f t="shared" si="0"/>
        <v>7200</v>
      </c>
      <c r="I66" s="14" t="s">
        <v>496</v>
      </c>
      <c r="J66" s="1">
        <v>0.58333333333333337</v>
      </c>
      <c r="K66" s="4" t="s">
        <v>9</v>
      </c>
    </row>
    <row r="67" spans="1:11" x14ac:dyDescent="0.25">
      <c r="A67" s="3" t="s">
        <v>251</v>
      </c>
      <c r="B67" s="4" t="s">
        <v>462</v>
      </c>
      <c r="C67" s="3" t="s">
        <v>392</v>
      </c>
      <c r="D67" s="4" t="s">
        <v>438</v>
      </c>
      <c r="E67" s="11">
        <v>44284</v>
      </c>
      <c r="F67" s="4">
        <v>6</v>
      </c>
      <c r="G67" s="16">
        <v>700</v>
      </c>
      <c r="H67" s="16">
        <f t="shared" si="0"/>
        <v>4200</v>
      </c>
      <c r="I67" s="14" t="s">
        <v>28</v>
      </c>
      <c r="J67" s="1">
        <v>0.33333333333333331</v>
      </c>
      <c r="K67" s="4" t="s">
        <v>11</v>
      </c>
    </row>
    <row r="68" spans="1:11" x14ac:dyDescent="0.25">
      <c r="A68" s="3" t="s">
        <v>204</v>
      </c>
      <c r="B68" s="4" t="s">
        <v>463</v>
      </c>
      <c r="C68" s="3" t="s">
        <v>381</v>
      </c>
      <c r="D68" s="4" t="s">
        <v>447</v>
      </c>
      <c r="E68" s="11">
        <v>44277</v>
      </c>
      <c r="F68" s="4">
        <v>6</v>
      </c>
      <c r="G68" s="16">
        <v>1000</v>
      </c>
      <c r="H68" s="16">
        <f t="shared" si="0"/>
        <v>6000</v>
      </c>
      <c r="I68" s="14" t="s">
        <v>27</v>
      </c>
      <c r="J68" s="1">
        <v>0.375</v>
      </c>
      <c r="K68" s="4" t="s">
        <v>176</v>
      </c>
    </row>
    <row r="69" spans="1:11" x14ac:dyDescent="0.25">
      <c r="A69" s="3" t="s">
        <v>316</v>
      </c>
      <c r="B69" s="4" t="s">
        <v>462</v>
      </c>
      <c r="C69" s="3" t="s">
        <v>390</v>
      </c>
      <c r="D69" s="4" t="s">
        <v>456</v>
      </c>
      <c r="E69" s="11">
        <v>44269</v>
      </c>
      <c r="F69" s="4">
        <v>12</v>
      </c>
      <c r="G69" s="16">
        <v>900</v>
      </c>
      <c r="H69" s="16">
        <f t="shared" ref="H69:H132" si="1">F69*G69</f>
        <v>10800</v>
      </c>
      <c r="I69" s="14" t="s">
        <v>492</v>
      </c>
      <c r="J69" s="1">
        <v>0.41666666666666669</v>
      </c>
      <c r="K69" s="4" t="s">
        <v>164</v>
      </c>
    </row>
    <row r="70" spans="1:11" x14ac:dyDescent="0.25">
      <c r="A70" s="3" t="s">
        <v>291</v>
      </c>
      <c r="B70" s="4" t="s">
        <v>463</v>
      </c>
      <c r="C70" s="3" t="s">
        <v>391</v>
      </c>
      <c r="D70" s="4" t="s">
        <v>457</v>
      </c>
      <c r="E70" s="11">
        <v>44281</v>
      </c>
      <c r="F70" s="4">
        <v>9</v>
      </c>
      <c r="G70" s="16">
        <v>1000</v>
      </c>
      <c r="H70" s="16">
        <f t="shared" si="1"/>
        <v>9000</v>
      </c>
      <c r="I70" s="14" t="s">
        <v>485</v>
      </c>
      <c r="J70" s="1">
        <v>0.45833333333333331</v>
      </c>
      <c r="K70" s="4" t="s">
        <v>165</v>
      </c>
    </row>
    <row r="71" spans="1:11" x14ac:dyDescent="0.25">
      <c r="A71" s="3" t="s">
        <v>340</v>
      </c>
      <c r="B71" s="4" t="s">
        <v>463</v>
      </c>
      <c r="C71" s="3" t="s">
        <v>384</v>
      </c>
      <c r="D71" s="4" t="s">
        <v>458</v>
      </c>
      <c r="E71" s="11">
        <v>44278</v>
      </c>
      <c r="F71" s="4">
        <v>6</v>
      </c>
      <c r="G71" s="16">
        <v>1000</v>
      </c>
      <c r="H71" s="16">
        <f t="shared" si="1"/>
        <v>6000</v>
      </c>
      <c r="I71" s="14" t="s">
        <v>486</v>
      </c>
      <c r="J71" s="1">
        <v>0.58333333333333337</v>
      </c>
      <c r="K71" s="4" t="s">
        <v>173</v>
      </c>
    </row>
    <row r="72" spans="1:11" x14ac:dyDescent="0.25">
      <c r="A72" s="3" t="s">
        <v>199</v>
      </c>
      <c r="B72" s="4" t="s">
        <v>466</v>
      </c>
      <c r="C72" s="3" t="s">
        <v>378</v>
      </c>
      <c r="D72" s="4" t="s">
        <v>452</v>
      </c>
      <c r="E72" s="11">
        <v>44285</v>
      </c>
      <c r="F72" s="4">
        <v>6</v>
      </c>
      <c r="G72" s="16">
        <v>700</v>
      </c>
      <c r="H72" s="16">
        <f t="shared" si="1"/>
        <v>4200</v>
      </c>
      <c r="I72" s="14" t="s">
        <v>493</v>
      </c>
      <c r="J72" s="1">
        <v>0.58333333333333337</v>
      </c>
      <c r="K72" s="4" t="s">
        <v>7</v>
      </c>
    </row>
    <row r="73" spans="1:11" x14ac:dyDescent="0.25">
      <c r="A73" s="3" t="s">
        <v>347</v>
      </c>
      <c r="B73" s="4" t="s">
        <v>463</v>
      </c>
      <c r="C73" s="3" t="s">
        <v>381</v>
      </c>
      <c r="D73" s="4" t="s">
        <v>447</v>
      </c>
      <c r="E73" s="11">
        <v>44281</v>
      </c>
      <c r="F73" s="4">
        <v>6</v>
      </c>
      <c r="G73" s="16">
        <v>1000</v>
      </c>
      <c r="H73" s="16">
        <f t="shared" si="1"/>
        <v>6000</v>
      </c>
      <c r="I73" s="14" t="s">
        <v>498</v>
      </c>
      <c r="J73" s="1">
        <v>0.625</v>
      </c>
      <c r="K73" s="4" t="s">
        <v>176</v>
      </c>
    </row>
    <row r="74" spans="1:11" x14ac:dyDescent="0.25">
      <c r="A74" s="3" t="s">
        <v>314</v>
      </c>
      <c r="B74" s="4" t="s">
        <v>463</v>
      </c>
      <c r="C74" s="3" t="s">
        <v>378</v>
      </c>
      <c r="D74" s="4" t="s">
        <v>452</v>
      </c>
      <c r="E74" s="11">
        <v>44279</v>
      </c>
      <c r="F74" s="4">
        <v>6</v>
      </c>
      <c r="G74" s="16">
        <v>700</v>
      </c>
      <c r="H74" s="16">
        <f t="shared" si="1"/>
        <v>4200</v>
      </c>
      <c r="I74" s="14" t="s">
        <v>489</v>
      </c>
      <c r="J74" s="1">
        <v>0.66666666666666663</v>
      </c>
      <c r="K74" s="4" t="s">
        <v>7</v>
      </c>
    </row>
    <row r="75" spans="1:11" x14ac:dyDescent="0.25">
      <c r="A75" s="3" t="s">
        <v>278</v>
      </c>
      <c r="B75" s="4" t="s">
        <v>463</v>
      </c>
      <c r="C75" s="3" t="s">
        <v>378</v>
      </c>
      <c r="D75" s="4" t="s">
        <v>452</v>
      </c>
      <c r="E75" s="11">
        <v>44283</v>
      </c>
      <c r="F75" s="4">
        <v>6</v>
      </c>
      <c r="G75" s="16">
        <v>700</v>
      </c>
      <c r="H75" s="16">
        <f t="shared" si="1"/>
        <v>4200</v>
      </c>
      <c r="I75" s="14" t="s">
        <v>490</v>
      </c>
      <c r="J75" s="1">
        <v>0.75</v>
      </c>
      <c r="K75" s="4" t="s">
        <v>7</v>
      </c>
    </row>
    <row r="76" spans="1:11" x14ac:dyDescent="0.25">
      <c r="A76" s="3" t="s">
        <v>282</v>
      </c>
      <c r="B76" s="4" t="s">
        <v>460</v>
      </c>
      <c r="C76" s="3" t="s">
        <v>376</v>
      </c>
      <c r="D76" s="4" t="s">
        <v>441</v>
      </c>
      <c r="E76" s="11">
        <v>44274</v>
      </c>
      <c r="F76" s="4">
        <v>6</v>
      </c>
      <c r="G76" s="16">
        <v>600</v>
      </c>
      <c r="H76" s="16">
        <f t="shared" si="1"/>
        <v>3600</v>
      </c>
      <c r="I76" s="14" t="s">
        <v>491</v>
      </c>
      <c r="J76" s="1">
        <v>0.79166666666666663</v>
      </c>
      <c r="K76" s="4" t="s">
        <v>3</v>
      </c>
    </row>
    <row r="77" spans="1:11" x14ac:dyDescent="0.25">
      <c r="A77" s="3" t="s">
        <v>337</v>
      </c>
      <c r="B77" s="4" t="s">
        <v>462</v>
      </c>
      <c r="C77" s="3" t="s">
        <v>380</v>
      </c>
      <c r="D77" s="4" t="s">
        <v>446</v>
      </c>
      <c r="E77" s="11">
        <v>44270</v>
      </c>
      <c r="F77" s="4">
        <v>3</v>
      </c>
      <c r="G77" s="16">
        <v>800</v>
      </c>
      <c r="H77" s="16">
        <f t="shared" si="1"/>
        <v>2400</v>
      </c>
      <c r="I77" s="14" t="s">
        <v>497</v>
      </c>
      <c r="J77" s="1">
        <v>0.33333333333333331</v>
      </c>
      <c r="K77" s="4" t="s">
        <v>175</v>
      </c>
    </row>
    <row r="78" spans="1:11" x14ac:dyDescent="0.25">
      <c r="A78" s="3" t="s">
        <v>330</v>
      </c>
      <c r="B78" s="4" t="s">
        <v>460</v>
      </c>
      <c r="C78" s="3" t="s">
        <v>376</v>
      </c>
      <c r="D78" s="4" t="s">
        <v>441</v>
      </c>
      <c r="E78" s="11">
        <v>44262</v>
      </c>
      <c r="F78" s="4">
        <v>6</v>
      </c>
      <c r="G78" s="16">
        <v>600</v>
      </c>
      <c r="H78" s="16">
        <f t="shared" si="1"/>
        <v>3600</v>
      </c>
      <c r="I78" s="14" t="s">
        <v>26</v>
      </c>
      <c r="J78" s="1">
        <v>0.375</v>
      </c>
      <c r="K78" s="4" t="s">
        <v>3</v>
      </c>
    </row>
    <row r="79" spans="1:11" x14ac:dyDescent="0.25">
      <c r="A79" s="3" t="s">
        <v>218</v>
      </c>
      <c r="B79" s="4" t="s">
        <v>463</v>
      </c>
      <c r="C79" s="3" t="s">
        <v>392</v>
      </c>
      <c r="D79" s="4" t="s">
        <v>438</v>
      </c>
      <c r="E79" s="11">
        <v>44283</v>
      </c>
      <c r="F79" s="4">
        <v>6</v>
      </c>
      <c r="G79" s="16">
        <v>700</v>
      </c>
      <c r="H79" s="16">
        <f t="shared" si="1"/>
        <v>4200</v>
      </c>
      <c r="I79" s="14" t="s">
        <v>492</v>
      </c>
      <c r="J79" s="1">
        <v>0.41666666666666669</v>
      </c>
      <c r="K79" s="4" t="s">
        <v>11</v>
      </c>
    </row>
    <row r="80" spans="1:11" x14ac:dyDescent="0.25">
      <c r="A80" s="3" t="s">
        <v>260</v>
      </c>
      <c r="B80" s="4" t="s">
        <v>463</v>
      </c>
      <c r="C80" s="3" t="s">
        <v>391</v>
      </c>
      <c r="D80" s="4" t="s">
        <v>457</v>
      </c>
      <c r="E80" s="11">
        <v>44263</v>
      </c>
      <c r="F80" s="4">
        <v>9</v>
      </c>
      <c r="G80" s="16">
        <v>1000</v>
      </c>
      <c r="H80" s="16">
        <f t="shared" si="1"/>
        <v>9000</v>
      </c>
      <c r="I80" s="14" t="s">
        <v>485</v>
      </c>
      <c r="J80" s="1">
        <v>0.45833333333333331</v>
      </c>
      <c r="K80" s="4" t="s">
        <v>165</v>
      </c>
    </row>
    <row r="81" spans="1:11" x14ac:dyDescent="0.25">
      <c r="A81" s="3" t="s">
        <v>192</v>
      </c>
      <c r="B81" s="4" t="s">
        <v>462</v>
      </c>
      <c r="C81" s="3" t="s">
        <v>385</v>
      </c>
      <c r="D81" s="4" t="s">
        <v>459</v>
      </c>
      <c r="E81" s="11">
        <v>44269</v>
      </c>
      <c r="F81" s="4">
        <v>9</v>
      </c>
      <c r="G81" s="16">
        <v>1200</v>
      </c>
      <c r="H81" s="16">
        <f t="shared" si="1"/>
        <v>10800</v>
      </c>
      <c r="I81" s="14" t="s">
        <v>500</v>
      </c>
      <c r="J81" s="1">
        <v>0.58333333333333337</v>
      </c>
      <c r="K81" s="4" t="s">
        <v>174</v>
      </c>
    </row>
    <row r="82" spans="1:11" x14ac:dyDescent="0.25">
      <c r="A82" s="3" t="s">
        <v>328</v>
      </c>
      <c r="B82" s="4" t="s">
        <v>462</v>
      </c>
      <c r="C82" s="3" t="s">
        <v>380</v>
      </c>
      <c r="D82" s="4" t="s">
        <v>446</v>
      </c>
      <c r="E82" s="11">
        <v>44265</v>
      </c>
      <c r="F82" s="4">
        <v>3</v>
      </c>
      <c r="G82" s="16">
        <v>800</v>
      </c>
      <c r="H82" s="16">
        <f t="shared" si="1"/>
        <v>2400</v>
      </c>
      <c r="I82" s="14" t="s">
        <v>493</v>
      </c>
      <c r="J82" s="1">
        <v>0.58333333333333337</v>
      </c>
      <c r="K82" s="4" t="s">
        <v>175</v>
      </c>
    </row>
    <row r="83" spans="1:11" x14ac:dyDescent="0.25">
      <c r="A83" s="3" t="s">
        <v>334</v>
      </c>
      <c r="B83" s="4" t="s">
        <v>463</v>
      </c>
      <c r="C83" s="3" t="s">
        <v>381</v>
      </c>
      <c r="D83" s="4" t="s">
        <v>447</v>
      </c>
      <c r="E83" s="11">
        <v>44268</v>
      </c>
      <c r="F83" s="4">
        <v>6</v>
      </c>
      <c r="G83" s="16">
        <v>1000</v>
      </c>
      <c r="H83" s="16">
        <f t="shared" si="1"/>
        <v>6000</v>
      </c>
      <c r="I83" s="14" t="s">
        <v>488</v>
      </c>
      <c r="J83" s="1">
        <v>0.33333333333333331</v>
      </c>
      <c r="K83" s="4" t="s">
        <v>176</v>
      </c>
    </row>
    <row r="84" spans="1:11" x14ac:dyDescent="0.25">
      <c r="A84" s="3" t="s">
        <v>272</v>
      </c>
      <c r="B84" s="4" t="s">
        <v>462</v>
      </c>
      <c r="C84" s="3" t="s">
        <v>389</v>
      </c>
      <c r="D84" s="4" t="s">
        <v>455</v>
      </c>
      <c r="E84" s="11">
        <v>44285</v>
      </c>
      <c r="F84" s="4">
        <v>9</v>
      </c>
      <c r="G84" s="16">
        <v>800</v>
      </c>
      <c r="H84" s="16">
        <f t="shared" si="1"/>
        <v>7200</v>
      </c>
      <c r="I84" s="14" t="s">
        <v>494</v>
      </c>
      <c r="J84" s="1">
        <v>0.41666666666666669</v>
      </c>
      <c r="K84" s="4" t="s">
        <v>163</v>
      </c>
    </row>
    <row r="85" spans="1:11" x14ac:dyDescent="0.25">
      <c r="A85" s="3" t="s">
        <v>311</v>
      </c>
      <c r="B85" s="4" t="s">
        <v>462</v>
      </c>
      <c r="C85" s="3" t="s">
        <v>378</v>
      </c>
      <c r="D85" s="4" t="s">
        <v>452</v>
      </c>
      <c r="E85" s="11">
        <v>44272</v>
      </c>
      <c r="F85" s="4">
        <v>6</v>
      </c>
      <c r="G85" s="16">
        <v>700</v>
      </c>
      <c r="H85" s="16">
        <f t="shared" si="1"/>
        <v>4200</v>
      </c>
      <c r="I85" s="14" t="s">
        <v>495</v>
      </c>
      <c r="J85" s="1">
        <v>0.45833333333333331</v>
      </c>
      <c r="K85" s="4" t="s">
        <v>7</v>
      </c>
    </row>
    <row r="86" spans="1:11" x14ac:dyDescent="0.25">
      <c r="A86" s="3" t="s">
        <v>205</v>
      </c>
      <c r="B86" s="4" t="s">
        <v>463</v>
      </c>
      <c r="C86" s="3" t="s">
        <v>391</v>
      </c>
      <c r="D86" s="4" t="s">
        <v>457</v>
      </c>
      <c r="E86" s="11">
        <v>44280</v>
      </c>
      <c r="F86" s="4">
        <v>9</v>
      </c>
      <c r="G86" s="16">
        <v>1000</v>
      </c>
      <c r="H86" s="16">
        <f t="shared" si="1"/>
        <v>9000</v>
      </c>
      <c r="I86" s="14" t="s">
        <v>496</v>
      </c>
      <c r="J86" s="1">
        <v>0.58333333333333337</v>
      </c>
      <c r="K86" s="4" t="s">
        <v>165</v>
      </c>
    </row>
    <row r="87" spans="1:11" x14ac:dyDescent="0.25">
      <c r="A87" s="3" t="s">
        <v>214</v>
      </c>
      <c r="B87" s="4" t="s">
        <v>461</v>
      </c>
      <c r="C87" s="3" t="s">
        <v>376</v>
      </c>
      <c r="D87" s="4" t="s">
        <v>441</v>
      </c>
      <c r="E87" s="11">
        <v>44262</v>
      </c>
      <c r="F87" s="4">
        <v>6</v>
      </c>
      <c r="G87" s="16">
        <v>600</v>
      </c>
      <c r="H87" s="16">
        <f t="shared" si="1"/>
        <v>3600</v>
      </c>
      <c r="I87" s="14" t="s">
        <v>28</v>
      </c>
      <c r="J87" s="1">
        <v>0.33333333333333331</v>
      </c>
      <c r="K87" s="4" t="s">
        <v>3</v>
      </c>
    </row>
    <row r="88" spans="1:11" x14ac:dyDescent="0.25">
      <c r="A88" s="3" t="s">
        <v>320</v>
      </c>
      <c r="B88" s="4" t="s">
        <v>462</v>
      </c>
      <c r="C88" s="3" t="s">
        <v>393</v>
      </c>
      <c r="D88" s="4" t="s">
        <v>439</v>
      </c>
      <c r="E88" s="11">
        <v>44281</v>
      </c>
      <c r="F88" s="4">
        <v>9</v>
      </c>
      <c r="G88" s="16">
        <v>800</v>
      </c>
      <c r="H88" s="16">
        <f t="shared" si="1"/>
        <v>7200</v>
      </c>
      <c r="I88" s="14" t="s">
        <v>26</v>
      </c>
      <c r="J88" s="1">
        <v>0.375</v>
      </c>
      <c r="K88" s="4" t="s">
        <v>15</v>
      </c>
    </row>
    <row r="89" spans="1:11" x14ac:dyDescent="0.25">
      <c r="A89" s="3" t="s">
        <v>233</v>
      </c>
      <c r="B89" s="4" t="s">
        <v>463</v>
      </c>
      <c r="C89" s="3" t="s">
        <v>383</v>
      </c>
      <c r="D89" s="4" t="s">
        <v>454</v>
      </c>
      <c r="E89" s="11">
        <v>44281</v>
      </c>
      <c r="F89" s="4">
        <v>3</v>
      </c>
      <c r="G89" s="16">
        <v>800</v>
      </c>
      <c r="H89" s="16">
        <f t="shared" si="1"/>
        <v>2400</v>
      </c>
      <c r="I89" s="14" t="s">
        <v>492</v>
      </c>
      <c r="J89" s="1">
        <v>0.41666666666666669</v>
      </c>
      <c r="K89" s="4" t="s">
        <v>172</v>
      </c>
    </row>
    <row r="90" spans="1:11" x14ac:dyDescent="0.25">
      <c r="A90" s="3" t="s">
        <v>275</v>
      </c>
      <c r="B90" s="4" t="s">
        <v>462</v>
      </c>
      <c r="C90" s="3" t="s">
        <v>390</v>
      </c>
      <c r="D90" s="4" t="s">
        <v>456</v>
      </c>
      <c r="E90" s="11">
        <v>44265</v>
      </c>
      <c r="F90" s="4">
        <v>12</v>
      </c>
      <c r="G90" s="16">
        <v>900</v>
      </c>
      <c r="H90" s="16">
        <f t="shared" si="1"/>
        <v>10800</v>
      </c>
      <c r="I90" s="14" t="s">
        <v>485</v>
      </c>
      <c r="J90" s="1">
        <v>0.45833333333333331</v>
      </c>
      <c r="K90" s="4" t="s">
        <v>164</v>
      </c>
    </row>
    <row r="91" spans="1:11" x14ac:dyDescent="0.25">
      <c r="A91" s="3" t="s">
        <v>264</v>
      </c>
      <c r="B91" s="4" t="s">
        <v>466</v>
      </c>
      <c r="C91" s="3" t="s">
        <v>389</v>
      </c>
      <c r="D91" s="4" t="s">
        <v>455</v>
      </c>
      <c r="E91" s="11">
        <v>44269</v>
      </c>
      <c r="F91" s="4">
        <v>9</v>
      </c>
      <c r="G91" s="16">
        <v>800</v>
      </c>
      <c r="H91" s="16">
        <f t="shared" si="1"/>
        <v>7200</v>
      </c>
      <c r="I91" s="14" t="s">
        <v>486</v>
      </c>
      <c r="J91" s="2">
        <v>0.58333333333333337</v>
      </c>
      <c r="K91" s="4" t="s">
        <v>163</v>
      </c>
    </row>
    <row r="92" spans="1:11" x14ac:dyDescent="0.25">
      <c r="A92" s="3" t="s">
        <v>295</v>
      </c>
      <c r="B92" s="4" t="s">
        <v>462</v>
      </c>
      <c r="C92" s="3" t="s">
        <v>380</v>
      </c>
      <c r="D92" s="4" t="s">
        <v>446</v>
      </c>
      <c r="E92" s="11">
        <v>44269</v>
      </c>
      <c r="F92" s="4">
        <v>3</v>
      </c>
      <c r="G92" s="16">
        <v>800</v>
      </c>
      <c r="H92" s="16">
        <f t="shared" si="1"/>
        <v>2400</v>
      </c>
      <c r="I92" s="14" t="s">
        <v>487</v>
      </c>
      <c r="J92" s="1">
        <v>0.33333333333333331</v>
      </c>
      <c r="K92" s="4" t="s">
        <v>175</v>
      </c>
    </row>
    <row r="93" spans="1:11" x14ac:dyDescent="0.25">
      <c r="A93" s="3" t="s">
        <v>367</v>
      </c>
      <c r="B93" s="4" t="s">
        <v>463</v>
      </c>
      <c r="C93" s="3" t="s">
        <v>393</v>
      </c>
      <c r="D93" s="4" t="s">
        <v>439</v>
      </c>
      <c r="E93" s="11">
        <v>44274</v>
      </c>
      <c r="F93" s="4">
        <v>9</v>
      </c>
      <c r="G93" s="16">
        <v>800</v>
      </c>
      <c r="H93" s="16">
        <f t="shared" si="1"/>
        <v>7200</v>
      </c>
      <c r="I93" s="14" t="s">
        <v>498</v>
      </c>
      <c r="J93" s="1">
        <v>0.41666666666666669</v>
      </c>
      <c r="K93" s="4" t="s">
        <v>15</v>
      </c>
    </row>
    <row r="94" spans="1:11" x14ac:dyDescent="0.25">
      <c r="A94" s="3" t="s">
        <v>229</v>
      </c>
      <c r="B94" s="4" t="s">
        <v>463</v>
      </c>
      <c r="C94" s="3" t="s">
        <v>386</v>
      </c>
      <c r="D94" s="4" t="s">
        <v>443</v>
      </c>
      <c r="E94" s="11">
        <v>44260</v>
      </c>
      <c r="F94" s="4">
        <v>6</v>
      </c>
      <c r="G94" s="16">
        <v>800</v>
      </c>
      <c r="H94" s="16">
        <f t="shared" si="1"/>
        <v>4800</v>
      </c>
      <c r="I94" s="14" t="s">
        <v>489</v>
      </c>
      <c r="J94" s="1">
        <v>0.45833333333333331</v>
      </c>
      <c r="K94" s="4" t="s">
        <v>169</v>
      </c>
    </row>
    <row r="95" spans="1:11" x14ac:dyDescent="0.25">
      <c r="A95" s="3" t="s">
        <v>235</v>
      </c>
      <c r="B95" s="4" t="s">
        <v>462</v>
      </c>
      <c r="C95" s="3" t="s">
        <v>379</v>
      </c>
      <c r="D95" s="4" t="s">
        <v>453</v>
      </c>
      <c r="E95" s="11">
        <v>44264</v>
      </c>
      <c r="F95" s="4">
        <v>9</v>
      </c>
      <c r="G95" s="16">
        <v>800</v>
      </c>
      <c r="H95" s="16">
        <f t="shared" si="1"/>
        <v>7200</v>
      </c>
      <c r="I95" s="14" t="s">
        <v>495</v>
      </c>
      <c r="J95" s="1">
        <v>0.58333333333333337</v>
      </c>
      <c r="K95" s="4" t="s">
        <v>9</v>
      </c>
    </row>
    <row r="96" spans="1:11" x14ac:dyDescent="0.25">
      <c r="A96" s="3" t="s">
        <v>220</v>
      </c>
      <c r="B96" s="4" t="s">
        <v>464</v>
      </c>
      <c r="C96" s="3" t="s">
        <v>385</v>
      </c>
      <c r="D96" s="4" t="s">
        <v>459</v>
      </c>
      <c r="E96" s="11">
        <v>44278</v>
      </c>
      <c r="F96" s="4">
        <v>9</v>
      </c>
      <c r="G96" s="16">
        <v>1200</v>
      </c>
      <c r="H96" s="16">
        <f t="shared" si="1"/>
        <v>10800</v>
      </c>
      <c r="I96" s="14" t="s">
        <v>496</v>
      </c>
      <c r="J96" s="1">
        <v>0.33333333333333331</v>
      </c>
      <c r="K96" s="4" t="s">
        <v>174</v>
      </c>
    </row>
    <row r="97" spans="1:11" x14ac:dyDescent="0.25">
      <c r="A97" s="3" t="s">
        <v>265</v>
      </c>
      <c r="B97" s="4" t="s">
        <v>463</v>
      </c>
      <c r="C97" s="3" t="s">
        <v>378</v>
      </c>
      <c r="D97" s="4" t="s">
        <v>452</v>
      </c>
      <c r="E97" s="11">
        <v>44266</v>
      </c>
      <c r="F97" s="4">
        <v>6</v>
      </c>
      <c r="G97" s="16">
        <v>700</v>
      </c>
      <c r="H97" s="16">
        <f t="shared" si="1"/>
        <v>4200</v>
      </c>
      <c r="I97" s="14" t="s">
        <v>497</v>
      </c>
      <c r="J97" s="1">
        <v>0.375</v>
      </c>
      <c r="K97" s="4" t="s">
        <v>7</v>
      </c>
    </row>
    <row r="98" spans="1:11" x14ac:dyDescent="0.25">
      <c r="A98" s="3" t="s">
        <v>338</v>
      </c>
      <c r="B98" s="4" t="s">
        <v>463</v>
      </c>
      <c r="C98" s="3" t="s">
        <v>390</v>
      </c>
      <c r="D98" s="4" t="s">
        <v>456</v>
      </c>
      <c r="E98" s="11">
        <v>44272</v>
      </c>
      <c r="F98" s="4">
        <v>12</v>
      </c>
      <c r="G98" s="16">
        <v>900</v>
      </c>
      <c r="H98" s="16">
        <f t="shared" si="1"/>
        <v>10800</v>
      </c>
      <c r="I98" s="14" t="s">
        <v>26</v>
      </c>
      <c r="J98" s="1">
        <v>0.41666666666666669</v>
      </c>
      <c r="K98" s="4" t="s">
        <v>164</v>
      </c>
    </row>
    <row r="99" spans="1:11" x14ac:dyDescent="0.25">
      <c r="A99" s="3" t="s">
        <v>226</v>
      </c>
      <c r="B99" s="4" t="s">
        <v>466</v>
      </c>
      <c r="C99" s="3" t="s">
        <v>391</v>
      </c>
      <c r="D99" s="4" t="s">
        <v>457</v>
      </c>
      <c r="E99" s="11">
        <v>44262</v>
      </c>
      <c r="F99" s="4">
        <v>9</v>
      </c>
      <c r="G99" s="16">
        <v>1000</v>
      </c>
      <c r="H99" s="16">
        <f t="shared" si="1"/>
        <v>9000</v>
      </c>
      <c r="I99" s="14" t="s">
        <v>492</v>
      </c>
      <c r="J99" s="1">
        <v>0.45833333333333331</v>
      </c>
      <c r="K99" s="4" t="s">
        <v>165</v>
      </c>
    </row>
    <row r="100" spans="1:11" x14ac:dyDescent="0.25">
      <c r="A100" s="3" t="s">
        <v>215</v>
      </c>
      <c r="B100" s="4" t="s">
        <v>463</v>
      </c>
      <c r="C100" s="3" t="s">
        <v>381</v>
      </c>
      <c r="D100" s="4" t="s">
        <v>447</v>
      </c>
      <c r="E100" s="11">
        <v>44272</v>
      </c>
      <c r="F100" s="4">
        <v>6</v>
      </c>
      <c r="G100" s="16">
        <v>1000</v>
      </c>
      <c r="H100" s="16">
        <f t="shared" si="1"/>
        <v>6000</v>
      </c>
      <c r="I100" s="14" t="s">
        <v>485</v>
      </c>
      <c r="J100" s="1">
        <v>0.58333333333333337</v>
      </c>
      <c r="K100" s="4" t="s">
        <v>176</v>
      </c>
    </row>
    <row r="101" spans="1:11" x14ac:dyDescent="0.25">
      <c r="A101" s="3" t="s">
        <v>237</v>
      </c>
      <c r="B101" s="4" t="s">
        <v>465</v>
      </c>
      <c r="C101" s="3" t="s">
        <v>386</v>
      </c>
      <c r="D101" s="4" t="s">
        <v>443</v>
      </c>
      <c r="E101" s="11">
        <v>44286</v>
      </c>
      <c r="F101" s="4">
        <v>6</v>
      </c>
      <c r="G101" s="16">
        <v>800</v>
      </c>
      <c r="H101" s="16">
        <f t="shared" si="1"/>
        <v>4800</v>
      </c>
      <c r="I101" s="14" t="s">
        <v>486</v>
      </c>
      <c r="J101" s="1">
        <v>0.33333333333333331</v>
      </c>
      <c r="K101" s="4" t="s">
        <v>169</v>
      </c>
    </row>
    <row r="102" spans="1:11" x14ac:dyDescent="0.25">
      <c r="A102" s="3" t="s">
        <v>301</v>
      </c>
      <c r="B102" s="4" t="s">
        <v>463</v>
      </c>
      <c r="C102" s="3" t="s">
        <v>391</v>
      </c>
      <c r="D102" s="4" t="s">
        <v>457</v>
      </c>
      <c r="E102" s="11">
        <v>44258</v>
      </c>
      <c r="F102" s="4">
        <v>9</v>
      </c>
      <c r="G102" s="16">
        <v>1000</v>
      </c>
      <c r="H102" s="16">
        <f t="shared" si="1"/>
        <v>9000</v>
      </c>
      <c r="I102" s="14" t="s">
        <v>487</v>
      </c>
      <c r="J102" s="1">
        <v>0.375</v>
      </c>
      <c r="K102" s="4" t="s">
        <v>165</v>
      </c>
    </row>
    <row r="103" spans="1:11" x14ac:dyDescent="0.25">
      <c r="A103" s="3" t="s">
        <v>356</v>
      </c>
      <c r="B103" s="4" t="s">
        <v>463</v>
      </c>
      <c r="C103" s="3" t="s">
        <v>381</v>
      </c>
      <c r="D103" s="4" t="s">
        <v>447</v>
      </c>
      <c r="E103" s="11">
        <v>44262</v>
      </c>
      <c r="F103" s="4">
        <v>6</v>
      </c>
      <c r="G103" s="16">
        <v>1000</v>
      </c>
      <c r="H103" s="16">
        <f t="shared" si="1"/>
        <v>6000</v>
      </c>
      <c r="I103" s="14" t="s">
        <v>498</v>
      </c>
      <c r="J103" s="1">
        <v>0.41666666666666669</v>
      </c>
      <c r="K103" s="4" t="s">
        <v>176</v>
      </c>
    </row>
    <row r="104" spans="1:11" x14ac:dyDescent="0.25">
      <c r="A104" s="3" t="s">
        <v>221</v>
      </c>
      <c r="B104" s="4" t="s">
        <v>464</v>
      </c>
      <c r="C104" s="3" t="s">
        <v>391</v>
      </c>
      <c r="D104" s="4" t="s">
        <v>457</v>
      </c>
      <c r="E104" s="11">
        <v>44277</v>
      </c>
      <c r="F104" s="4">
        <v>9</v>
      </c>
      <c r="G104" s="16">
        <v>1000</v>
      </c>
      <c r="H104" s="16">
        <f t="shared" si="1"/>
        <v>9000</v>
      </c>
      <c r="I104" s="14" t="s">
        <v>494</v>
      </c>
      <c r="J104" s="1">
        <v>0.45833333333333331</v>
      </c>
      <c r="K104" s="4" t="s">
        <v>165</v>
      </c>
    </row>
    <row r="105" spans="1:11" x14ac:dyDescent="0.25">
      <c r="A105" s="3" t="s">
        <v>213</v>
      </c>
      <c r="B105" s="4" t="s">
        <v>463</v>
      </c>
      <c r="C105" s="3" t="s">
        <v>385</v>
      </c>
      <c r="D105" s="4" t="s">
        <v>459</v>
      </c>
      <c r="E105" s="11">
        <v>44272</v>
      </c>
      <c r="F105" s="4">
        <v>9</v>
      </c>
      <c r="G105" s="16">
        <v>1200</v>
      </c>
      <c r="H105" s="16">
        <f t="shared" si="1"/>
        <v>10800</v>
      </c>
      <c r="I105" s="14" t="s">
        <v>495</v>
      </c>
      <c r="J105" s="1">
        <v>0.58333333333333337</v>
      </c>
      <c r="K105" s="4" t="s">
        <v>174</v>
      </c>
    </row>
    <row r="106" spans="1:11" x14ac:dyDescent="0.25">
      <c r="A106" s="3" t="s">
        <v>292</v>
      </c>
      <c r="B106" s="4" t="s">
        <v>464</v>
      </c>
      <c r="C106" s="3" t="s">
        <v>389</v>
      </c>
      <c r="D106" s="4" t="s">
        <v>455</v>
      </c>
      <c r="E106" s="11">
        <v>44259</v>
      </c>
      <c r="F106" s="4">
        <v>9</v>
      </c>
      <c r="G106" s="16">
        <v>800</v>
      </c>
      <c r="H106" s="16">
        <f t="shared" si="1"/>
        <v>7200</v>
      </c>
      <c r="I106" s="14" t="s">
        <v>491</v>
      </c>
      <c r="J106" s="1">
        <v>0.58333333333333337</v>
      </c>
      <c r="K106" s="4" t="s">
        <v>163</v>
      </c>
    </row>
    <row r="107" spans="1:11" x14ac:dyDescent="0.25">
      <c r="A107" s="3" t="s">
        <v>239</v>
      </c>
      <c r="B107" s="4" t="s">
        <v>463</v>
      </c>
      <c r="C107" s="3" t="s">
        <v>383</v>
      </c>
      <c r="D107" s="4" t="s">
        <v>454</v>
      </c>
      <c r="E107" s="11">
        <v>44263</v>
      </c>
      <c r="F107" s="4">
        <v>3</v>
      </c>
      <c r="G107" s="16">
        <v>800</v>
      </c>
      <c r="H107" s="16">
        <f t="shared" si="1"/>
        <v>2400</v>
      </c>
      <c r="I107" s="14" t="s">
        <v>497</v>
      </c>
      <c r="J107" s="1">
        <v>0.625</v>
      </c>
      <c r="K107" s="4" t="s">
        <v>172</v>
      </c>
    </row>
    <row r="108" spans="1:11" x14ac:dyDescent="0.25">
      <c r="A108" s="3" t="s">
        <v>281</v>
      </c>
      <c r="B108" s="4" t="s">
        <v>465</v>
      </c>
      <c r="C108" s="3" t="s">
        <v>393</v>
      </c>
      <c r="D108" s="4" t="s">
        <v>439</v>
      </c>
      <c r="E108" s="11">
        <v>44274</v>
      </c>
      <c r="F108" s="4">
        <v>9</v>
      </c>
      <c r="G108" s="16">
        <v>800</v>
      </c>
      <c r="H108" s="16">
        <f t="shared" si="1"/>
        <v>7200</v>
      </c>
      <c r="I108" s="14" t="s">
        <v>26</v>
      </c>
      <c r="J108" s="1">
        <v>0.66666666666666663</v>
      </c>
      <c r="K108" s="4" t="s">
        <v>15</v>
      </c>
    </row>
    <row r="109" spans="1:11" x14ac:dyDescent="0.25">
      <c r="A109" s="3" t="s">
        <v>180</v>
      </c>
      <c r="B109" s="4" t="s">
        <v>460</v>
      </c>
      <c r="C109" s="3" t="s">
        <v>376</v>
      </c>
      <c r="D109" s="4" t="s">
        <v>441</v>
      </c>
      <c r="E109" s="11">
        <v>44258</v>
      </c>
      <c r="F109" s="4">
        <v>6</v>
      </c>
      <c r="G109" s="16">
        <v>600</v>
      </c>
      <c r="H109" s="16">
        <f t="shared" si="1"/>
        <v>3600</v>
      </c>
      <c r="I109" s="14" t="s">
        <v>484</v>
      </c>
      <c r="J109" s="1">
        <v>0.41666666666666669</v>
      </c>
      <c r="K109" s="4" t="s">
        <v>3</v>
      </c>
    </row>
    <row r="110" spans="1:11" x14ac:dyDescent="0.25">
      <c r="A110" s="3" t="s">
        <v>324</v>
      </c>
      <c r="B110" s="4" t="s">
        <v>461</v>
      </c>
      <c r="C110" s="3" t="s">
        <v>376</v>
      </c>
      <c r="D110" s="4" t="s">
        <v>441</v>
      </c>
      <c r="E110" s="11">
        <v>44276</v>
      </c>
      <c r="F110" s="4">
        <v>6</v>
      </c>
      <c r="G110" s="16">
        <v>600</v>
      </c>
      <c r="H110" s="16">
        <f t="shared" si="1"/>
        <v>3600</v>
      </c>
      <c r="I110" s="14" t="s">
        <v>485</v>
      </c>
      <c r="J110" s="1">
        <v>0.45833333333333298</v>
      </c>
      <c r="K110" s="4" t="s">
        <v>3</v>
      </c>
    </row>
    <row r="111" spans="1:11" x14ac:dyDescent="0.25">
      <c r="A111" s="3" t="s">
        <v>245</v>
      </c>
      <c r="B111" s="4" t="s">
        <v>463</v>
      </c>
      <c r="C111" s="3" t="s">
        <v>390</v>
      </c>
      <c r="D111" s="4" t="s">
        <v>456</v>
      </c>
      <c r="E111" s="11">
        <v>44281</v>
      </c>
      <c r="F111" s="4">
        <v>12</v>
      </c>
      <c r="G111" s="16">
        <v>900</v>
      </c>
      <c r="H111" s="16">
        <f t="shared" si="1"/>
        <v>10800</v>
      </c>
      <c r="I111" s="14" t="s">
        <v>500</v>
      </c>
      <c r="J111" s="1">
        <v>0.58333333333333337</v>
      </c>
      <c r="K111" s="4" t="s">
        <v>164</v>
      </c>
    </row>
    <row r="112" spans="1:11" x14ac:dyDescent="0.25">
      <c r="A112" s="3" t="s">
        <v>208</v>
      </c>
      <c r="B112" s="4" t="s">
        <v>461</v>
      </c>
      <c r="C112" s="3" t="s">
        <v>377</v>
      </c>
      <c r="D112" s="4" t="s">
        <v>442</v>
      </c>
      <c r="E112" s="11">
        <v>44274</v>
      </c>
      <c r="F112" s="4">
        <v>9</v>
      </c>
      <c r="G112" s="16">
        <v>700</v>
      </c>
      <c r="H112" s="16">
        <f t="shared" si="1"/>
        <v>6300</v>
      </c>
      <c r="I112" s="15" t="s">
        <v>487</v>
      </c>
      <c r="J112" s="1">
        <v>0.33333333333333331</v>
      </c>
      <c r="K112" s="4" t="s">
        <v>5</v>
      </c>
    </row>
    <row r="113" spans="1:11" x14ac:dyDescent="0.25">
      <c r="A113" s="3" t="s">
        <v>181</v>
      </c>
      <c r="B113" s="4" t="s">
        <v>465</v>
      </c>
      <c r="C113" s="3" t="s">
        <v>390</v>
      </c>
      <c r="D113" s="4" t="s">
        <v>456</v>
      </c>
      <c r="E113" s="11">
        <v>44276</v>
      </c>
      <c r="F113" s="4">
        <v>12</v>
      </c>
      <c r="G113" s="16">
        <v>900</v>
      </c>
      <c r="H113" s="16">
        <f t="shared" si="1"/>
        <v>10800</v>
      </c>
      <c r="I113" s="14" t="s">
        <v>498</v>
      </c>
      <c r="J113" s="1">
        <v>0.375</v>
      </c>
      <c r="K113" s="4" t="s">
        <v>164</v>
      </c>
    </row>
    <row r="114" spans="1:11" x14ac:dyDescent="0.25">
      <c r="A114" s="3" t="s">
        <v>183</v>
      </c>
      <c r="B114" s="4" t="s">
        <v>463</v>
      </c>
      <c r="C114" s="3" t="s">
        <v>392</v>
      </c>
      <c r="D114" s="4" t="s">
        <v>438</v>
      </c>
      <c r="E114" s="11">
        <v>44259</v>
      </c>
      <c r="F114" s="4">
        <v>6</v>
      </c>
      <c r="G114" s="16">
        <v>700</v>
      </c>
      <c r="H114" s="16">
        <f t="shared" si="1"/>
        <v>4200</v>
      </c>
      <c r="I114" s="14" t="s">
        <v>489</v>
      </c>
      <c r="J114" s="1">
        <v>0.41666666666666669</v>
      </c>
      <c r="K114" s="4" t="s">
        <v>11</v>
      </c>
    </row>
    <row r="115" spans="1:11" x14ac:dyDescent="0.25">
      <c r="A115" s="3" t="s">
        <v>354</v>
      </c>
      <c r="B115" s="4" t="s">
        <v>465</v>
      </c>
      <c r="C115" s="3" t="s">
        <v>380</v>
      </c>
      <c r="D115" s="4" t="s">
        <v>446</v>
      </c>
      <c r="E115" s="11">
        <v>44273</v>
      </c>
      <c r="F115" s="4">
        <v>3</v>
      </c>
      <c r="G115" s="16">
        <v>800</v>
      </c>
      <c r="H115" s="16">
        <f t="shared" si="1"/>
        <v>2400</v>
      </c>
      <c r="I115" s="14" t="s">
        <v>495</v>
      </c>
      <c r="J115" s="1">
        <v>0.45833333333333331</v>
      </c>
      <c r="K115" s="4" t="s">
        <v>175</v>
      </c>
    </row>
    <row r="116" spans="1:11" x14ac:dyDescent="0.25">
      <c r="A116" s="3" t="s">
        <v>211</v>
      </c>
      <c r="B116" s="4" t="s">
        <v>463</v>
      </c>
      <c r="C116" s="3" t="s">
        <v>378</v>
      </c>
      <c r="D116" s="4" t="s">
        <v>452</v>
      </c>
      <c r="E116" s="11">
        <v>44277</v>
      </c>
      <c r="F116" s="4">
        <v>6</v>
      </c>
      <c r="G116" s="16">
        <v>700</v>
      </c>
      <c r="H116" s="16">
        <f t="shared" si="1"/>
        <v>4200</v>
      </c>
      <c r="I116" s="14" t="s">
        <v>491</v>
      </c>
      <c r="J116" s="1">
        <v>0.58333333333333337</v>
      </c>
      <c r="K116" s="4" t="s">
        <v>7</v>
      </c>
    </row>
    <row r="117" spans="1:11" x14ac:dyDescent="0.25">
      <c r="A117" s="3" t="s">
        <v>263</v>
      </c>
      <c r="B117" s="4" t="s">
        <v>465</v>
      </c>
      <c r="C117" s="3" t="s">
        <v>384</v>
      </c>
      <c r="D117" s="4" t="s">
        <v>458</v>
      </c>
      <c r="E117" s="11">
        <v>44258</v>
      </c>
      <c r="F117" s="4">
        <v>6</v>
      </c>
      <c r="G117" s="16">
        <v>1000</v>
      </c>
      <c r="H117" s="16">
        <f t="shared" si="1"/>
        <v>6000</v>
      </c>
      <c r="I117" s="14" t="s">
        <v>28</v>
      </c>
      <c r="J117" s="1">
        <v>0.58333333333333337</v>
      </c>
      <c r="K117" s="4" t="s">
        <v>173</v>
      </c>
    </row>
    <row r="118" spans="1:11" x14ac:dyDescent="0.25">
      <c r="A118" s="3" t="s">
        <v>319</v>
      </c>
      <c r="B118" s="4" t="s">
        <v>463</v>
      </c>
      <c r="C118" s="3" t="s">
        <v>393</v>
      </c>
      <c r="D118" s="4" t="s">
        <v>439</v>
      </c>
      <c r="E118" s="11">
        <v>44263</v>
      </c>
      <c r="F118" s="4">
        <v>9</v>
      </c>
      <c r="G118" s="16">
        <v>800</v>
      </c>
      <c r="H118" s="16">
        <f t="shared" si="1"/>
        <v>7200</v>
      </c>
      <c r="I118" s="14" t="s">
        <v>26</v>
      </c>
      <c r="J118" s="1">
        <v>0.625</v>
      </c>
      <c r="K118" s="4" t="s">
        <v>15</v>
      </c>
    </row>
    <row r="119" spans="1:11" x14ac:dyDescent="0.25">
      <c r="A119" s="3" t="s">
        <v>219</v>
      </c>
      <c r="B119" s="4" t="s">
        <v>462</v>
      </c>
      <c r="C119" s="3" t="s">
        <v>385</v>
      </c>
      <c r="D119" s="4" t="s">
        <v>459</v>
      </c>
      <c r="E119" s="11">
        <v>44283</v>
      </c>
      <c r="F119" s="4">
        <v>9</v>
      </c>
      <c r="G119" s="16">
        <v>1200</v>
      </c>
      <c r="H119" s="16">
        <f t="shared" si="1"/>
        <v>10800</v>
      </c>
      <c r="I119" s="14" t="s">
        <v>492</v>
      </c>
      <c r="J119" s="1">
        <v>0.66666666666666663</v>
      </c>
      <c r="K119" s="4" t="s">
        <v>174</v>
      </c>
    </row>
    <row r="120" spans="1:11" x14ac:dyDescent="0.25">
      <c r="A120" s="3" t="s">
        <v>240</v>
      </c>
      <c r="B120" s="4" t="s">
        <v>462</v>
      </c>
      <c r="C120" s="3" t="s">
        <v>379</v>
      </c>
      <c r="D120" s="4" t="s">
        <v>453</v>
      </c>
      <c r="E120" s="11">
        <v>44277</v>
      </c>
      <c r="F120" s="4">
        <v>9</v>
      </c>
      <c r="G120" s="16">
        <v>800</v>
      </c>
      <c r="H120" s="16">
        <f t="shared" si="1"/>
        <v>7200</v>
      </c>
      <c r="I120" s="14" t="s">
        <v>485</v>
      </c>
      <c r="J120" s="1">
        <v>0.75</v>
      </c>
      <c r="K120" s="4" t="s">
        <v>9</v>
      </c>
    </row>
    <row r="121" spans="1:11" x14ac:dyDescent="0.25">
      <c r="A121" s="3" t="s">
        <v>280</v>
      </c>
      <c r="B121" s="4" t="s">
        <v>463</v>
      </c>
      <c r="C121" s="3" t="s">
        <v>391</v>
      </c>
      <c r="D121" s="4" t="s">
        <v>457</v>
      </c>
      <c r="E121" s="11">
        <v>44280</v>
      </c>
      <c r="F121" s="4">
        <v>9</v>
      </c>
      <c r="G121" s="16">
        <v>1000</v>
      </c>
      <c r="H121" s="16">
        <f t="shared" si="1"/>
        <v>9000</v>
      </c>
      <c r="I121" s="14" t="s">
        <v>486</v>
      </c>
      <c r="J121" s="1">
        <v>0.79166666666666663</v>
      </c>
      <c r="K121" s="4" t="s">
        <v>165</v>
      </c>
    </row>
    <row r="122" spans="1:11" x14ac:dyDescent="0.25">
      <c r="A122" s="3" t="s">
        <v>247</v>
      </c>
      <c r="B122" s="4" t="s">
        <v>463</v>
      </c>
      <c r="C122" s="3" t="s">
        <v>383</v>
      </c>
      <c r="D122" s="4" t="s">
        <v>454</v>
      </c>
      <c r="E122" s="11">
        <v>44284</v>
      </c>
      <c r="F122" s="4">
        <v>3</v>
      </c>
      <c r="G122" s="16">
        <v>800</v>
      </c>
      <c r="H122" s="16">
        <f t="shared" si="1"/>
        <v>2400</v>
      </c>
      <c r="I122" s="14" t="s">
        <v>493</v>
      </c>
      <c r="J122" s="1">
        <v>0.33333333333333331</v>
      </c>
      <c r="K122" s="4" t="s">
        <v>172</v>
      </c>
    </row>
    <row r="123" spans="1:11" x14ac:dyDescent="0.25">
      <c r="A123" s="3" t="s">
        <v>236</v>
      </c>
      <c r="B123" s="4" t="s">
        <v>463</v>
      </c>
      <c r="C123" s="3" t="s">
        <v>391</v>
      </c>
      <c r="D123" s="4" t="s">
        <v>457</v>
      </c>
      <c r="E123" s="11">
        <v>44286</v>
      </c>
      <c r="F123" s="4">
        <v>9</v>
      </c>
      <c r="G123" s="16">
        <v>1000</v>
      </c>
      <c r="H123" s="16">
        <f t="shared" si="1"/>
        <v>9000</v>
      </c>
      <c r="I123" s="14" t="s">
        <v>498</v>
      </c>
      <c r="J123" s="1">
        <v>0.375</v>
      </c>
      <c r="K123" s="4" t="s">
        <v>165</v>
      </c>
    </row>
    <row r="124" spans="1:11" x14ac:dyDescent="0.25">
      <c r="A124" s="3" t="s">
        <v>317</v>
      </c>
      <c r="B124" s="4" t="s">
        <v>463</v>
      </c>
      <c r="C124" s="3" t="s">
        <v>385</v>
      </c>
      <c r="D124" s="4" t="s">
        <v>459</v>
      </c>
      <c r="E124" s="11">
        <v>44271</v>
      </c>
      <c r="F124" s="4">
        <v>9</v>
      </c>
      <c r="G124" s="16">
        <v>1200</v>
      </c>
      <c r="H124" s="16">
        <f t="shared" si="1"/>
        <v>10800</v>
      </c>
      <c r="I124" s="14" t="s">
        <v>489</v>
      </c>
      <c r="J124" s="1">
        <v>0.41666666666666669</v>
      </c>
      <c r="K124" s="4" t="s">
        <v>174</v>
      </c>
    </row>
    <row r="125" spans="1:11" x14ac:dyDescent="0.25">
      <c r="A125" s="3" t="s">
        <v>288</v>
      </c>
      <c r="B125" s="4" t="s">
        <v>462</v>
      </c>
      <c r="C125" s="3" t="s">
        <v>385</v>
      </c>
      <c r="D125" s="4" t="s">
        <v>459</v>
      </c>
      <c r="E125" s="11">
        <v>44260</v>
      </c>
      <c r="F125" s="4">
        <v>9</v>
      </c>
      <c r="G125" s="16">
        <v>1200</v>
      </c>
      <c r="H125" s="16">
        <f t="shared" si="1"/>
        <v>10800</v>
      </c>
      <c r="I125" s="14" t="s">
        <v>495</v>
      </c>
      <c r="J125" s="1">
        <v>0.45833333333333331</v>
      </c>
      <c r="K125" s="4" t="s">
        <v>174</v>
      </c>
    </row>
    <row r="126" spans="1:11" x14ac:dyDescent="0.25">
      <c r="A126" s="3" t="s">
        <v>230</v>
      </c>
      <c r="B126" s="4" t="s">
        <v>462</v>
      </c>
      <c r="C126" s="3" t="s">
        <v>380</v>
      </c>
      <c r="D126" s="4" t="s">
        <v>446</v>
      </c>
      <c r="E126" s="11">
        <v>44279</v>
      </c>
      <c r="F126" s="4">
        <v>3</v>
      </c>
      <c r="G126" s="16">
        <v>800</v>
      </c>
      <c r="H126" s="16">
        <f t="shared" si="1"/>
        <v>2400</v>
      </c>
      <c r="I126" s="14" t="s">
        <v>491</v>
      </c>
      <c r="J126" s="1">
        <v>0.58333333333333337</v>
      </c>
      <c r="K126" s="4" t="s">
        <v>175</v>
      </c>
    </row>
    <row r="127" spans="1:11" x14ac:dyDescent="0.25">
      <c r="A127" s="3" t="s">
        <v>305</v>
      </c>
      <c r="B127" s="4" t="s">
        <v>462</v>
      </c>
      <c r="C127" s="3" t="s">
        <v>384</v>
      </c>
      <c r="D127" s="4" t="s">
        <v>458</v>
      </c>
      <c r="E127" s="11">
        <v>44286</v>
      </c>
      <c r="F127" s="4">
        <v>6</v>
      </c>
      <c r="G127" s="16">
        <v>1000</v>
      </c>
      <c r="H127" s="16">
        <f t="shared" si="1"/>
        <v>6000</v>
      </c>
      <c r="I127" s="14" t="s">
        <v>28</v>
      </c>
      <c r="J127" s="1">
        <v>0.58333333333333337</v>
      </c>
      <c r="K127" s="4" t="s">
        <v>173</v>
      </c>
    </row>
    <row r="128" spans="1:11" x14ac:dyDescent="0.25">
      <c r="A128" s="3" t="s">
        <v>197</v>
      </c>
      <c r="B128" s="4" t="s">
        <v>465</v>
      </c>
      <c r="C128" s="3" t="s">
        <v>393</v>
      </c>
      <c r="D128" s="4" t="s">
        <v>439</v>
      </c>
      <c r="E128" s="11">
        <v>44276</v>
      </c>
      <c r="F128" s="4">
        <v>9</v>
      </c>
      <c r="G128" s="16">
        <v>800</v>
      </c>
      <c r="H128" s="16">
        <f t="shared" si="1"/>
        <v>7200</v>
      </c>
      <c r="I128" s="14" t="s">
        <v>26</v>
      </c>
      <c r="J128" s="1">
        <v>0.33333333333333331</v>
      </c>
      <c r="K128" s="4" t="s">
        <v>15</v>
      </c>
    </row>
    <row r="129" spans="1:11" x14ac:dyDescent="0.25">
      <c r="A129" s="3" t="s">
        <v>321</v>
      </c>
      <c r="B129" s="4" t="s">
        <v>463</v>
      </c>
      <c r="C129" s="3" t="s">
        <v>383</v>
      </c>
      <c r="D129" s="4" t="s">
        <v>454</v>
      </c>
      <c r="E129" s="11">
        <v>44280</v>
      </c>
      <c r="F129" s="4">
        <v>3</v>
      </c>
      <c r="G129" s="16">
        <v>800</v>
      </c>
      <c r="H129" s="16">
        <f t="shared" si="1"/>
        <v>2400</v>
      </c>
      <c r="I129" s="14" t="s">
        <v>484</v>
      </c>
      <c r="J129" s="1">
        <v>0.41666666666666669</v>
      </c>
      <c r="K129" s="4" t="s">
        <v>172</v>
      </c>
    </row>
    <row r="130" spans="1:11" x14ac:dyDescent="0.25">
      <c r="A130" s="3" t="s">
        <v>267</v>
      </c>
      <c r="B130" s="4" t="s">
        <v>463</v>
      </c>
      <c r="C130" s="3" t="s">
        <v>384</v>
      </c>
      <c r="D130" s="4" t="s">
        <v>458</v>
      </c>
      <c r="E130" s="11">
        <v>44276</v>
      </c>
      <c r="F130" s="4">
        <v>6</v>
      </c>
      <c r="G130" s="16">
        <v>1000</v>
      </c>
      <c r="H130" s="16">
        <f t="shared" si="1"/>
        <v>6000</v>
      </c>
      <c r="I130" s="14" t="s">
        <v>499</v>
      </c>
      <c r="J130" s="1">
        <v>0.45833333333333331</v>
      </c>
      <c r="K130" s="4" t="s">
        <v>173</v>
      </c>
    </row>
    <row r="131" spans="1:11" x14ac:dyDescent="0.25">
      <c r="A131" s="3" t="s">
        <v>209</v>
      </c>
      <c r="B131" s="4" t="s">
        <v>463</v>
      </c>
      <c r="C131" s="3" t="s">
        <v>391</v>
      </c>
      <c r="D131" s="4" t="s">
        <v>457</v>
      </c>
      <c r="E131" s="11">
        <v>44259</v>
      </c>
      <c r="F131" s="4">
        <v>9</v>
      </c>
      <c r="G131" s="16">
        <v>1000</v>
      </c>
      <c r="H131" s="16">
        <f t="shared" si="1"/>
        <v>9000</v>
      </c>
      <c r="I131" s="14" t="s">
        <v>500</v>
      </c>
      <c r="J131" s="1">
        <v>0.58333333333333337</v>
      </c>
      <c r="K131" s="4" t="s">
        <v>165</v>
      </c>
    </row>
    <row r="132" spans="1:11" x14ac:dyDescent="0.25">
      <c r="A132" s="3" t="s">
        <v>206</v>
      </c>
      <c r="B132" s="4" t="s">
        <v>464</v>
      </c>
      <c r="C132" s="3" t="s">
        <v>381</v>
      </c>
      <c r="D132" s="4" t="s">
        <v>447</v>
      </c>
      <c r="E132" s="11">
        <v>44275</v>
      </c>
      <c r="F132" s="4">
        <v>6</v>
      </c>
      <c r="G132" s="16">
        <v>1000</v>
      </c>
      <c r="H132" s="16">
        <f t="shared" si="1"/>
        <v>6000</v>
      </c>
      <c r="I132" s="14" t="s">
        <v>487</v>
      </c>
      <c r="J132" s="1">
        <v>0.33333333333333331</v>
      </c>
      <c r="K132" s="4" t="s">
        <v>176</v>
      </c>
    </row>
    <row r="133" spans="1:11" x14ac:dyDescent="0.25">
      <c r="A133" s="3" t="s">
        <v>210</v>
      </c>
      <c r="B133" s="4" t="s">
        <v>466</v>
      </c>
      <c r="C133" s="3" t="s">
        <v>391</v>
      </c>
      <c r="D133" s="4" t="s">
        <v>457</v>
      </c>
      <c r="E133" s="11">
        <v>44283</v>
      </c>
      <c r="F133" s="4">
        <v>9</v>
      </c>
      <c r="G133" s="16">
        <v>1000</v>
      </c>
      <c r="H133" s="16">
        <f t="shared" ref="H133:H181" si="2">F133*G133</f>
        <v>9000</v>
      </c>
      <c r="I133" s="14" t="s">
        <v>488</v>
      </c>
      <c r="J133" s="1">
        <v>0.375</v>
      </c>
      <c r="K133" s="4" t="s">
        <v>165</v>
      </c>
    </row>
    <row r="134" spans="1:11" x14ac:dyDescent="0.25">
      <c r="A134" s="3" t="s">
        <v>343</v>
      </c>
      <c r="B134" s="4" t="s">
        <v>462</v>
      </c>
      <c r="C134" s="3" t="s">
        <v>391</v>
      </c>
      <c r="D134" s="4" t="s">
        <v>457</v>
      </c>
      <c r="E134" s="11">
        <v>44257</v>
      </c>
      <c r="F134" s="4">
        <v>9</v>
      </c>
      <c r="G134" s="16">
        <v>1000</v>
      </c>
      <c r="H134" s="16">
        <f t="shared" si="2"/>
        <v>9000</v>
      </c>
      <c r="I134" s="14" t="s">
        <v>494</v>
      </c>
      <c r="J134" s="1">
        <v>0.41666666666666669</v>
      </c>
      <c r="K134" s="4" t="s">
        <v>165</v>
      </c>
    </row>
    <row r="135" spans="1:11" x14ac:dyDescent="0.25">
      <c r="A135" s="3" t="s">
        <v>350</v>
      </c>
      <c r="B135" s="4" t="s">
        <v>463</v>
      </c>
      <c r="C135" s="3" t="s">
        <v>391</v>
      </c>
      <c r="D135" s="4" t="s">
        <v>457</v>
      </c>
      <c r="E135" s="11">
        <v>44286</v>
      </c>
      <c r="F135" s="4">
        <v>9</v>
      </c>
      <c r="G135" s="16">
        <v>1000</v>
      </c>
      <c r="H135" s="16">
        <f t="shared" si="2"/>
        <v>9000</v>
      </c>
      <c r="I135" s="14" t="s">
        <v>490</v>
      </c>
      <c r="J135" s="1">
        <v>0.45833333333333331</v>
      </c>
      <c r="K135" s="4" t="s">
        <v>165</v>
      </c>
    </row>
    <row r="136" spans="1:11" x14ac:dyDescent="0.25">
      <c r="A136" s="3" t="s">
        <v>284</v>
      </c>
      <c r="B136" s="4" t="s">
        <v>466</v>
      </c>
      <c r="C136" s="3" t="s">
        <v>383</v>
      </c>
      <c r="D136" s="4" t="s">
        <v>454</v>
      </c>
      <c r="E136" s="11">
        <v>44261</v>
      </c>
      <c r="F136" s="4">
        <v>3</v>
      </c>
      <c r="G136" s="16">
        <v>800</v>
      </c>
      <c r="H136" s="16">
        <f t="shared" si="2"/>
        <v>2400</v>
      </c>
      <c r="I136" s="14" t="s">
        <v>491</v>
      </c>
      <c r="J136" s="2">
        <v>0.58333333333333337</v>
      </c>
      <c r="K136" s="4" t="s">
        <v>172</v>
      </c>
    </row>
    <row r="137" spans="1:11" x14ac:dyDescent="0.25">
      <c r="A137" s="3" t="s">
        <v>366</v>
      </c>
      <c r="B137" s="4" t="s">
        <v>461</v>
      </c>
      <c r="C137" s="3" t="s">
        <v>377</v>
      </c>
      <c r="D137" s="4" t="s">
        <v>442</v>
      </c>
      <c r="E137" s="11">
        <v>44258</v>
      </c>
      <c r="F137" s="4">
        <v>9</v>
      </c>
      <c r="G137" s="16">
        <v>700</v>
      </c>
      <c r="H137" s="16">
        <f t="shared" si="2"/>
        <v>6300</v>
      </c>
      <c r="I137" s="14" t="s">
        <v>497</v>
      </c>
      <c r="J137" s="1">
        <v>0.33333333333333331</v>
      </c>
      <c r="K137" s="4" t="s">
        <v>5</v>
      </c>
    </row>
    <row r="138" spans="1:11" x14ac:dyDescent="0.25">
      <c r="A138" s="3" t="s">
        <v>306</v>
      </c>
      <c r="B138" s="4" t="s">
        <v>462</v>
      </c>
      <c r="C138" s="3" t="s">
        <v>391</v>
      </c>
      <c r="D138" s="4" t="s">
        <v>457</v>
      </c>
      <c r="E138" s="11">
        <v>44282</v>
      </c>
      <c r="F138" s="4">
        <v>9</v>
      </c>
      <c r="G138" s="16">
        <v>1000</v>
      </c>
      <c r="H138" s="16">
        <f t="shared" si="2"/>
        <v>9000</v>
      </c>
      <c r="I138" s="14" t="s">
        <v>27</v>
      </c>
      <c r="J138" s="1">
        <v>0.41666666666666669</v>
      </c>
      <c r="K138" s="4" t="s">
        <v>165</v>
      </c>
    </row>
    <row r="139" spans="1:11" x14ac:dyDescent="0.25">
      <c r="A139" s="3" t="s">
        <v>299</v>
      </c>
      <c r="B139" s="4" t="s">
        <v>465</v>
      </c>
      <c r="C139" s="3" t="s">
        <v>381</v>
      </c>
      <c r="D139" s="4" t="s">
        <v>447</v>
      </c>
      <c r="E139" s="11">
        <v>44278</v>
      </c>
      <c r="F139" s="4">
        <v>6</v>
      </c>
      <c r="G139" s="16">
        <v>1000</v>
      </c>
      <c r="H139" s="16">
        <f t="shared" si="2"/>
        <v>6000</v>
      </c>
      <c r="I139" s="14" t="s">
        <v>492</v>
      </c>
      <c r="J139" s="1">
        <v>0.45833333333333331</v>
      </c>
      <c r="K139" s="4" t="s">
        <v>176</v>
      </c>
    </row>
    <row r="140" spans="1:11" x14ac:dyDescent="0.25">
      <c r="A140" s="3" t="s">
        <v>268</v>
      </c>
      <c r="B140" s="4" t="s">
        <v>463</v>
      </c>
      <c r="C140" s="3" t="s">
        <v>380</v>
      </c>
      <c r="D140" s="4" t="s">
        <v>446</v>
      </c>
      <c r="E140" s="11">
        <v>44267</v>
      </c>
      <c r="F140" s="4">
        <v>3</v>
      </c>
      <c r="G140" s="16">
        <v>800</v>
      </c>
      <c r="H140" s="16">
        <f t="shared" si="2"/>
        <v>2400</v>
      </c>
      <c r="I140" s="14" t="s">
        <v>499</v>
      </c>
      <c r="J140" s="1">
        <v>0.58333333333333337</v>
      </c>
      <c r="K140" s="4" t="s">
        <v>175</v>
      </c>
    </row>
    <row r="141" spans="1:11" x14ac:dyDescent="0.25">
      <c r="A141" s="3" t="s">
        <v>333</v>
      </c>
      <c r="B141" s="4" t="s">
        <v>461</v>
      </c>
      <c r="C141" s="3" t="s">
        <v>377</v>
      </c>
      <c r="D141" s="4" t="s">
        <v>442</v>
      </c>
      <c r="E141" s="11">
        <v>44263</v>
      </c>
      <c r="F141" s="4">
        <v>9</v>
      </c>
      <c r="G141" s="16">
        <v>700</v>
      </c>
      <c r="H141" s="16">
        <f t="shared" si="2"/>
        <v>6300</v>
      </c>
      <c r="I141" s="14" t="s">
        <v>486</v>
      </c>
      <c r="J141" s="1">
        <v>0.33333333333333331</v>
      </c>
      <c r="K141" s="4" t="s">
        <v>5</v>
      </c>
    </row>
    <row r="142" spans="1:11" x14ac:dyDescent="0.25">
      <c r="A142" s="3" t="s">
        <v>322</v>
      </c>
      <c r="B142" s="4" t="s">
        <v>463</v>
      </c>
      <c r="C142" s="3" t="s">
        <v>390</v>
      </c>
      <c r="D142" s="4" t="s">
        <v>456</v>
      </c>
      <c r="E142" s="11">
        <v>44271</v>
      </c>
      <c r="F142" s="4">
        <v>12</v>
      </c>
      <c r="G142" s="16">
        <v>900</v>
      </c>
      <c r="H142" s="16">
        <f t="shared" si="2"/>
        <v>10800</v>
      </c>
      <c r="I142" s="14" t="s">
        <v>487</v>
      </c>
      <c r="J142" s="1">
        <v>0.375</v>
      </c>
      <c r="K142" s="4" t="s">
        <v>164</v>
      </c>
    </row>
    <row r="143" spans="1:11" x14ac:dyDescent="0.25">
      <c r="A143" s="3" t="s">
        <v>335</v>
      </c>
      <c r="B143" s="4" t="s">
        <v>462</v>
      </c>
      <c r="C143" s="3" t="s">
        <v>390</v>
      </c>
      <c r="D143" s="4" t="s">
        <v>456</v>
      </c>
      <c r="E143" s="11">
        <v>44266</v>
      </c>
      <c r="F143" s="4">
        <v>12</v>
      </c>
      <c r="G143" s="16">
        <v>900</v>
      </c>
      <c r="H143" s="16">
        <f t="shared" si="2"/>
        <v>10800</v>
      </c>
      <c r="I143" s="14" t="s">
        <v>498</v>
      </c>
      <c r="J143" s="1">
        <v>0.41666666666666669</v>
      </c>
      <c r="K143" s="4" t="s">
        <v>164</v>
      </c>
    </row>
    <row r="144" spans="1:11" x14ac:dyDescent="0.25">
      <c r="A144" s="3" t="s">
        <v>348</v>
      </c>
      <c r="B144" s="4" t="s">
        <v>463</v>
      </c>
      <c r="C144" s="3" t="s">
        <v>380</v>
      </c>
      <c r="D144" s="4" t="s">
        <v>446</v>
      </c>
      <c r="E144" s="11">
        <v>44273</v>
      </c>
      <c r="F144" s="4">
        <v>3</v>
      </c>
      <c r="G144" s="16">
        <v>800</v>
      </c>
      <c r="H144" s="16">
        <f t="shared" si="2"/>
        <v>2400</v>
      </c>
      <c r="I144" s="14" t="s">
        <v>489</v>
      </c>
      <c r="J144" s="1">
        <v>0.45833333333333331</v>
      </c>
      <c r="K144" s="4" t="s">
        <v>175</v>
      </c>
    </row>
    <row r="145" spans="1:11" x14ac:dyDescent="0.25">
      <c r="A145" s="3" t="s">
        <v>359</v>
      </c>
      <c r="B145" s="4" t="s">
        <v>463</v>
      </c>
      <c r="C145" s="3" t="s">
        <v>385</v>
      </c>
      <c r="D145" s="4" t="s">
        <v>459</v>
      </c>
      <c r="E145" s="11">
        <v>44275</v>
      </c>
      <c r="F145" s="4">
        <v>9</v>
      </c>
      <c r="G145" s="16">
        <v>1200</v>
      </c>
      <c r="H145" s="16">
        <f t="shared" si="2"/>
        <v>10800</v>
      </c>
      <c r="I145" s="14" t="s">
        <v>490</v>
      </c>
      <c r="J145" s="1">
        <v>0.58333333333333337</v>
      </c>
      <c r="K145" s="4" t="s">
        <v>174</v>
      </c>
    </row>
    <row r="146" spans="1:11" x14ac:dyDescent="0.25">
      <c r="A146" s="3" t="s">
        <v>360</v>
      </c>
      <c r="B146" s="4" t="s">
        <v>463</v>
      </c>
      <c r="C146" s="3" t="s">
        <v>390</v>
      </c>
      <c r="D146" s="4" t="s">
        <v>456</v>
      </c>
      <c r="E146" s="11">
        <v>44258</v>
      </c>
      <c r="F146" s="4">
        <v>12</v>
      </c>
      <c r="G146" s="16">
        <v>900</v>
      </c>
      <c r="H146" s="16">
        <f t="shared" si="2"/>
        <v>10800</v>
      </c>
      <c r="I146" s="14" t="s">
        <v>496</v>
      </c>
      <c r="J146" s="1">
        <v>0.33333333333333331</v>
      </c>
      <c r="K146" s="4" t="s">
        <v>164</v>
      </c>
    </row>
    <row r="147" spans="1:11" x14ac:dyDescent="0.25">
      <c r="A147" s="3" t="s">
        <v>238</v>
      </c>
      <c r="B147" s="4" t="s">
        <v>464</v>
      </c>
      <c r="C147" s="3" t="s">
        <v>380</v>
      </c>
      <c r="D147" s="4" t="s">
        <v>446</v>
      </c>
      <c r="E147" s="11">
        <v>44260</v>
      </c>
      <c r="F147" s="4">
        <v>3</v>
      </c>
      <c r="G147" s="16">
        <v>800</v>
      </c>
      <c r="H147" s="16">
        <f t="shared" si="2"/>
        <v>2400</v>
      </c>
      <c r="I147" s="14" t="s">
        <v>28</v>
      </c>
      <c r="J147" s="1">
        <v>0.375</v>
      </c>
      <c r="K147" s="4" t="s">
        <v>175</v>
      </c>
    </row>
    <row r="148" spans="1:11" x14ac:dyDescent="0.25">
      <c r="A148" s="3" t="s">
        <v>370</v>
      </c>
      <c r="B148" s="4" t="s">
        <v>462</v>
      </c>
      <c r="C148" s="3" t="s">
        <v>392</v>
      </c>
      <c r="D148" s="4" t="s">
        <v>438</v>
      </c>
      <c r="E148" s="11">
        <v>44282</v>
      </c>
      <c r="F148" s="4">
        <v>6</v>
      </c>
      <c r="G148" s="16">
        <v>700</v>
      </c>
      <c r="H148" s="16">
        <f t="shared" si="2"/>
        <v>4200</v>
      </c>
      <c r="I148" s="14" t="s">
        <v>26</v>
      </c>
      <c r="J148" s="1">
        <v>0.41666666666666669</v>
      </c>
      <c r="K148" s="4" t="s">
        <v>11</v>
      </c>
    </row>
    <row r="149" spans="1:11" x14ac:dyDescent="0.25">
      <c r="A149" s="3" t="s">
        <v>361</v>
      </c>
      <c r="B149" s="4" t="s">
        <v>462</v>
      </c>
      <c r="C149" s="3" t="s">
        <v>392</v>
      </c>
      <c r="D149" s="4" t="s">
        <v>438</v>
      </c>
      <c r="E149" s="11">
        <v>44257</v>
      </c>
      <c r="F149" s="4">
        <v>6</v>
      </c>
      <c r="G149" s="16">
        <v>700</v>
      </c>
      <c r="H149" s="16">
        <f t="shared" si="2"/>
        <v>4200</v>
      </c>
      <c r="I149" s="14" t="s">
        <v>492</v>
      </c>
      <c r="J149" s="1">
        <v>0.45833333333333331</v>
      </c>
      <c r="K149" s="4" t="s">
        <v>11</v>
      </c>
    </row>
    <row r="150" spans="1:11" x14ac:dyDescent="0.25">
      <c r="A150" s="3" t="s">
        <v>283</v>
      </c>
      <c r="B150" s="4" t="s">
        <v>463</v>
      </c>
      <c r="C150" s="3" t="s">
        <v>383</v>
      </c>
      <c r="D150" s="4" t="s">
        <v>454</v>
      </c>
      <c r="E150" s="11">
        <v>44275</v>
      </c>
      <c r="F150" s="4">
        <v>3</v>
      </c>
      <c r="G150" s="16">
        <v>800</v>
      </c>
      <c r="H150" s="16">
        <f t="shared" si="2"/>
        <v>2400</v>
      </c>
      <c r="I150" s="14" t="s">
        <v>485</v>
      </c>
      <c r="J150" s="1">
        <v>0.58333333333333337</v>
      </c>
      <c r="K150" s="4" t="s">
        <v>172</v>
      </c>
    </row>
    <row r="151" spans="1:11" x14ac:dyDescent="0.25">
      <c r="A151" s="3" t="s">
        <v>276</v>
      </c>
      <c r="B151" s="4" t="s">
        <v>462</v>
      </c>
      <c r="C151" s="3" t="s">
        <v>379</v>
      </c>
      <c r="D151" s="4" t="s">
        <v>453</v>
      </c>
      <c r="E151" s="11">
        <v>44267</v>
      </c>
      <c r="F151" s="4">
        <v>9</v>
      </c>
      <c r="G151" s="16">
        <v>800</v>
      </c>
      <c r="H151" s="16">
        <f t="shared" si="2"/>
        <v>7200</v>
      </c>
      <c r="I151" s="14" t="s">
        <v>486</v>
      </c>
      <c r="J151" s="1">
        <v>0.58333333333333337</v>
      </c>
      <c r="K151" s="4" t="s">
        <v>9</v>
      </c>
    </row>
    <row r="152" spans="1:11" x14ac:dyDescent="0.25">
      <c r="A152" s="3" t="s">
        <v>364</v>
      </c>
      <c r="B152" s="4" t="s">
        <v>464</v>
      </c>
      <c r="C152" s="3" t="s">
        <v>390</v>
      </c>
      <c r="D152" s="4" t="s">
        <v>456</v>
      </c>
      <c r="E152" s="11">
        <v>44280</v>
      </c>
      <c r="F152" s="4">
        <v>12</v>
      </c>
      <c r="G152" s="16">
        <v>900</v>
      </c>
      <c r="H152" s="16">
        <f t="shared" si="2"/>
        <v>10800</v>
      </c>
      <c r="I152" s="14" t="s">
        <v>487</v>
      </c>
      <c r="J152" s="1">
        <v>0.625</v>
      </c>
      <c r="K152" s="4" t="s">
        <v>164</v>
      </c>
    </row>
    <row r="153" spans="1:11" x14ac:dyDescent="0.25">
      <c r="A153" s="3" t="s">
        <v>277</v>
      </c>
      <c r="B153" s="4" t="s">
        <v>464</v>
      </c>
      <c r="C153" s="3" t="s">
        <v>379</v>
      </c>
      <c r="D153" s="4" t="s">
        <v>453</v>
      </c>
      <c r="E153" s="11">
        <v>44265</v>
      </c>
      <c r="F153" s="4">
        <v>9</v>
      </c>
      <c r="G153" s="16">
        <v>800</v>
      </c>
      <c r="H153" s="16">
        <f t="shared" si="2"/>
        <v>7200</v>
      </c>
      <c r="I153" s="14" t="s">
        <v>488</v>
      </c>
      <c r="J153" s="1">
        <v>0.66666666666666663</v>
      </c>
      <c r="K153" s="4" t="s">
        <v>9</v>
      </c>
    </row>
    <row r="154" spans="1:11" x14ac:dyDescent="0.25">
      <c r="A154" s="3" t="s">
        <v>318</v>
      </c>
      <c r="B154" s="4" t="s">
        <v>463</v>
      </c>
      <c r="C154" s="3" t="s">
        <v>383</v>
      </c>
      <c r="D154" s="4" t="s">
        <v>454</v>
      </c>
      <c r="E154" s="11">
        <v>44275</v>
      </c>
      <c r="F154" s="4">
        <v>3</v>
      </c>
      <c r="G154" s="16">
        <v>800</v>
      </c>
      <c r="H154" s="16">
        <f t="shared" si="2"/>
        <v>2400</v>
      </c>
      <c r="I154" s="14" t="s">
        <v>494</v>
      </c>
      <c r="J154" s="1">
        <v>0.41666666666666669</v>
      </c>
      <c r="K154" s="4" t="s">
        <v>172</v>
      </c>
    </row>
    <row r="155" spans="1:11" x14ac:dyDescent="0.25">
      <c r="A155" s="3" t="s">
        <v>217</v>
      </c>
      <c r="B155" s="4" t="s">
        <v>461</v>
      </c>
      <c r="C155" s="3" t="s">
        <v>377</v>
      </c>
      <c r="D155" s="4" t="s">
        <v>442</v>
      </c>
      <c r="E155" s="11">
        <v>44261</v>
      </c>
      <c r="F155" s="4">
        <v>9</v>
      </c>
      <c r="G155" s="16">
        <v>700</v>
      </c>
      <c r="H155" s="16">
        <f t="shared" si="2"/>
        <v>6300</v>
      </c>
      <c r="I155" s="14" t="s">
        <v>495</v>
      </c>
      <c r="J155" s="1">
        <v>0.45833333333333298</v>
      </c>
      <c r="K155" s="4" t="s">
        <v>5</v>
      </c>
    </row>
    <row r="156" spans="1:11" x14ac:dyDescent="0.25">
      <c r="A156" s="3" t="s">
        <v>223</v>
      </c>
      <c r="B156" s="4" t="s">
        <v>462</v>
      </c>
      <c r="C156" s="3" t="s">
        <v>378</v>
      </c>
      <c r="D156" s="4" t="s">
        <v>452</v>
      </c>
      <c r="E156" s="11">
        <v>44264</v>
      </c>
      <c r="F156" s="4">
        <v>6</v>
      </c>
      <c r="G156" s="16">
        <v>700</v>
      </c>
      <c r="H156" s="16">
        <f t="shared" si="2"/>
        <v>4200</v>
      </c>
      <c r="I156" s="14" t="s">
        <v>491</v>
      </c>
      <c r="J156" s="1">
        <v>0.58333333333333337</v>
      </c>
      <c r="K156" s="4" t="s">
        <v>7</v>
      </c>
    </row>
    <row r="157" spans="1:11" x14ac:dyDescent="0.25">
      <c r="A157" s="3" t="s">
        <v>327</v>
      </c>
      <c r="B157" s="4" t="s">
        <v>463</v>
      </c>
      <c r="C157" s="3" t="s">
        <v>379</v>
      </c>
      <c r="D157" s="4" t="s">
        <v>453</v>
      </c>
      <c r="E157" s="11">
        <v>44282</v>
      </c>
      <c r="F157" s="4">
        <v>9</v>
      </c>
      <c r="G157" s="16">
        <v>800</v>
      </c>
      <c r="H157" s="16">
        <f t="shared" si="2"/>
        <v>7200</v>
      </c>
      <c r="I157" s="14" t="s">
        <v>497</v>
      </c>
      <c r="J157" s="1">
        <v>0.33333333333333331</v>
      </c>
      <c r="K157" s="4" t="s">
        <v>9</v>
      </c>
    </row>
    <row r="158" spans="1:11" x14ac:dyDescent="0.25">
      <c r="A158" s="3" t="s">
        <v>250</v>
      </c>
      <c r="B158" s="4" t="s">
        <v>460</v>
      </c>
      <c r="C158" s="3" t="s">
        <v>376</v>
      </c>
      <c r="D158" s="4" t="s">
        <v>441</v>
      </c>
      <c r="E158" s="11">
        <v>44273</v>
      </c>
      <c r="F158" s="4">
        <v>6</v>
      </c>
      <c r="G158" s="16">
        <v>600</v>
      </c>
      <c r="H158" s="16">
        <f t="shared" si="2"/>
        <v>3600</v>
      </c>
      <c r="I158" s="14" t="s">
        <v>26</v>
      </c>
      <c r="J158" s="1">
        <v>0.375</v>
      </c>
      <c r="K158" s="4" t="s">
        <v>3</v>
      </c>
    </row>
    <row r="159" spans="1:11" x14ac:dyDescent="0.25">
      <c r="A159" s="3" t="s">
        <v>304</v>
      </c>
      <c r="B159" s="4" t="s">
        <v>462</v>
      </c>
      <c r="C159" s="3" t="s">
        <v>392</v>
      </c>
      <c r="D159" s="4" t="s">
        <v>438</v>
      </c>
      <c r="E159" s="11">
        <v>44270</v>
      </c>
      <c r="F159" s="4">
        <v>6</v>
      </c>
      <c r="G159" s="16">
        <v>700</v>
      </c>
      <c r="H159" s="16">
        <f t="shared" si="2"/>
        <v>4200</v>
      </c>
      <c r="I159" s="14" t="s">
        <v>492</v>
      </c>
      <c r="J159" s="1">
        <v>0.41666666666666669</v>
      </c>
      <c r="K159" s="4" t="s">
        <v>11</v>
      </c>
    </row>
    <row r="160" spans="1:11" x14ac:dyDescent="0.25">
      <c r="A160" s="3" t="s">
        <v>308</v>
      </c>
      <c r="B160" s="4" t="s">
        <v>462</v>
      </c>
      <c r="C160" s="3" t="s">
        <v>390</v>
      </c>
      <c r="D160" s="4" t="s">
        <v>456</v>
      </c>
      <c r="E160" s="11">
        <v>44282</v>
      </c>
      <c r="F160" s="4">
        <v>12</v>
      </c>
      <c r="G160" s="16">
        <v>900</v>
      </c>
      <c r="H160" s="16">
        <f t="shared" si="2"/>
        <v>10800</v>
      </c>
      <c r="I160" s="14" t="s">
        <v>499</v>
      </c>
      <c r="J160" s="1">
        <v>0.45833333333333331</v>
      </c>
      <c r="K160" s="4" t="s">
        <v>164</v>
      </c>
    </row>
    <row r="161" spans="1:11" x14ac:dyDescent="0.25">
      <c r="A161" s="3" t="s">
        <v>355</v>
      </c>
      <c r="B161" s="4" t="s">
        <v>466</v>
      </c>
      <c r="C161" s="3" t="s">
        <v>389</v>
      </c>
      <c r="D161" s="4" t="s">
        <v>455</v>
      </c>
      <c r="E161" s="11">
        <v>44266</v>
      </c>
      <c r="F161" s="4">
        <v>9</v>
      </c>
      <c r="G161" s="16">
        <v>800</v>
      </c>
      <c r="H161" s="16">
        <f t="shared" si="2"/>
        <v>7200</v>
      </c>
      <c r="I161" s="14" t="s">
        <v>486</v>
      </c>
      <c r="J161" s="1">
        <v>0.58333333333333337</v>
      </c>
      <c r="K161" s="4" t="s">
        <v>163</v>
      </c>
    </row>
    <row r="162" spans="1:11" x14ac:dyDescent="0.25">
      <c r="A162" s="3" t="s">
        <v>326</v>
      </c>
      <c r="B162" s="4" t="s">
        <v>462</v>
      </c>
      <c r="C162" s="3" t="s">
        <v>381</v>
      </c>
      <c r="D162" s="4" t="s">
        <v>447</v>
      </c>
      <c r="E162" s="11">
        <v>44274</v>
      </c>
      <c r="F162" s="4">
        <v>6</v>
      </c>
      <c r="G162" s="16">
        <v>1000</v>
      </c>
      <c r="H162" s="16">
        <f t="shared" si="2"/>
        <v>6000</v>
      </c>
      <c r="I162" s="14" t="s">
        <v>493</v>
      </c>
      <c r="J162" s="1">
        <v>0.58333333333333337</v>
      </c>
      <c r="K162" s="4" t="s">
        <v>176</v>
      </c>
    </row>
    <row r="163" spans="1:11" x14ac:dyDescent="0.25">
      <c r="A163" s="3" t="s">
        <v>309</v>
      </c>
      <c r="B163" s="4" t="s">
        <v>463</v>
      </c>
      <c r="C163" s="3" t="s">
        <v>381</v>
      </c>
      <c r="D163" s="4" t="s">
        <v>447</v>
      </c>
      <c r="E163" s="11">
        <v>44278</v>
      </c>
      <c r="F163" s="4">
        <v>6</v>
      </c>
      <c r="G163" s="16">
        <v>1000</v>
      </c>
      <c r="H163" s="16">
        <f t="shared" si="2"/>
        <v>6000</v>
      </c>
      <c r="I163" s="14" t="s">
        <v>488</v>
      </c>
      <c r="J163" s="1">
        <v>0.625</v>
      </c>
      <c r="K163" s="4" t="s">
        <v>176</v>
      </c>
    </row>
    <row r="164" spans="1:11" x14ac:dyDescent="0.25">
      <c r="A164" s="3" t="s">
        <v>345</v>
      </c>
      <c r="B164" s="4" t="s">
        <v>463</v>
      </c>
      <c r="C164" s="3" t="s">
        <v>379</v>
      </c>
      <c r="D164" s="4" t="s">
        <v>453</v>
      </c>
      <c r="E164" s="11">
        <v>44265</v>
      </c>
      <c r="F164" s="4">
        <v>9</v>
      </c>
      <c r="G164" s="16">
        <v>800</v>
      </c>
      <c r="H164" s="16">
        <f t="shared" si="2"/>
        <v>7200</v>
      </c>
      <c r="I164" s="14" t="s">
        <v>494</v>
      </c>
      <c r="J164" s="1">
        <v>0.66666666666666663</v>
      </c>
      <c r="K164" s="4" t="s">
        <v>9</v>
      </c>
    </row>
    <row r="165" spans="1:11" x14ac:dyDescent="0.25">
      <c r="A165" s="3" t="s">
        <v>244</v>
      </c>
      <c r="B165" s="4" t="s">
        <v>463</v>
      </c>
      <c r="C165" s="3" t="s">
        <v>380</v>
      </c>
      <c r="D165" s="4" t="s">
        <v>446</v>
      </c>
      <c r="E165" s="11">
        <v>44286</v>
      </c>
      <c r="F165" s="4">
        <v>3</v>
      </c>
      <c r="G165" s="16">
        <v>800</v>
      </c>
      <c r="H165" s="16">
        <f t="shared" si="2"/>
        <v>2400</v>
      </c>
      <c r="I165" s="14" t="s">
        <v>495</v>
      </c>
      <c r="J165" s="1">
        <v>0.75</v>
      </c>
      <c r="K165" s="4" t="s">
        <v>175</v>
      </c>
    </row>
    <row r="166" spans="1:11" x14ac:dyDescent="0.25">
      <c r="A166" s="3" t="s">
        <v>344</v>
      </c>
      <c r="B166" s="4" t="s">
        <v>463</v>
      </c>
      <c r="C166" s="3" t="s">
        <v>381</v>
      </c>
      <c r="D166" s="4" t="s">
        <v>447</v>
      </c>
      <c r="E166" s="11">
        <v>44266</v>
      </c>
      <c r="F166" s="4">
        <v>6</v>
      </c>
      <c r="G166" s="16">
        <v>1000</v>
      </c>
      <c r="H166" s="16">
        <f t="shared" si="2"/>
        <v>6000</v>
      </c>
      <c r="I166" s="14" t="s">
        <v>491</v>
      </c>
      <c r="J166" s="1">
        <v>0.79166666666666663</v>
      </c>
      <c r="K166" s="4" t="s">
        <v>176</v>
      </c>
    </row>
    <row r="167" spans="1:11" x14ac:dyDescent="0.25">
      <c r="A167" s="3" t="s">
        <v>369</v>
      </c>
      <c r="B167" s="4" t="s">
        <v>466</v>
      </c>
      <c r="C167" s="3" t="s">
        <v>379</v>
      </c>
      <c r="D167" s="4" t="s">
        <v>453</v>
      </c>
      <c r="E167" s="11">
        <v>44259</v>
      </c>
      <c r="F167" s="4">
        <v>9</v>
      </c>
      <c r="G167" s="16">
        <v>800</v>
      </c>
      <c r="H167" s="16">
        <f t="shared" si="2"/>
        <v>7200</v>
      </c>
      <c r="I167" s="14" t="s">
        <v>28</v>
      </c>
      <c r="J167" s="1">
        <v>0.33333333333333331</v>
      </c>
      <c r="K167" s="4" t="s">
        <v>9</v>
      </c>
    </row>
    <row r="168" spans="1:11" x14ac:dyDescent="0.25">
      <c r="A168" s="3" t="s">
        <v>273</v>
      </c>
      <c r="B168" s="4" t="s">
        <v>462</v>
      </c>
      <c r="C168" s="3" t="s">
        <v>383</v>
      </c>
      <c r="D168" s="4" t="s">
        <v>454</v>
      </c>
      <c r="E168" s="11">
        <v>44277</v>
      </c>
      <c r="F168" s="4">
        <v>3</v>
      </c>
      <c r="G168" s="16">
        <v>800</v>
      </c>
      <c r="H168" s="16">
        <f t="shared" si="2"/>
        <v>2400</v>
      </c>
      <c r="I168" s="14" t="s">
        <v>26</v>
      </c>
      <c r="J168" s="1">
        <v>0.375</v>
      </c>
      <c r="K168" s="4" t="s">
        <v>172</v>
      </c>
    </row>
    <row r="169" spans="1:11" x14ac:dyDescent="0.25">
      <c r="A169" s="3" t="s">
        <v>293</v>
      </c>
      <c r="B169" s="4" t="s">
        <v>463</v>
      </c>
      <c r="C169" s="3" t="s">
        <v>392</v>
      </c>
      <c r="D169" s="4" t="s">
        <v>438</v>
      </c>
      <c r="E169" s="11">
        <v>44268</v>
      </c>
      <c r="F169" s="4">
        <v>6</v>
      </c>
      <c r="G169" s="16">
        <v>700</v>
      </c>
      <c r="H169" s="16">
        <f t="shared" si="2"/>
        <v>4200</v>
      </c>
      <c r="I169" s="14" t="s">
        <v>492</v>
      </c>
      <c r="J169" s="1">
        <v>0.41666666666666669</v>
      </c>
      <c r="K169" s="4" t="s">
        <v>11</v>
      </c>
    </row>
    <row r="170" spans="1:11" x14ac:dyDescent="0.25">
      <c r="A170" s="3" t="s">
        <v>271</v>
      </c>
      <c r="B170" s="4" t="s">
        <v>462</v>
      </c>
      <c r="C170" s="3" t="s">
        <v>378</v>
      </c>
      <c r="D170" s="4" t="s">
        <v>452</v>
      </c>
      <c r="E170" s="11">
        <v>44259</v>
      </c>
      <c r="F170" s="4">
        <v>6</v>
      </c>
      <c r="G170" s="16">
        <v>700</v>
      </c>
      <c r="H170" s="16">
        <f t="shared" si="2"/>
        <v>4200</v>
      </c>
      <c r="I170" s="14" t="s">
        <v>499</v>
      </c>
      <c r="J170" s="1">
        <v>0.45833333333333331</v>
      </c>
      <c r="K170" s="4" t="s">
        <v>7</v>
      </c>
    </row>
    <row r="171" spans="1:11" x14ac:dyDescent="0.25">
      <c r="A171" s="3" t="s">
        <v>179</v>
      </c>
      <c r="B171" s="4" t="s">
        <v>463</v>
      </c>
      <c r="C171" s="3" t="s">
        <v>383</v>
      </c>
      <c r="D171" s="4" t="s">
        <v>454</v>
      </c>
      <c r="E171" s="11">
        <v>44261</v>
      </c>
      <c r="F171" s="4">
        <v>3</v>
      </c>
      <c r="G171" s="16">
        <v>800</v>
      </c>
      <c r="H171" s="16">
        <f t="shared" si="2"/>
        <v>2400</v>
      </c>
      <c r="I171" s="14" t="s">
        <v>486</v>
      </c>
      <c r="J171" s="1">
        <v>0.58333333333333337</v>
      </c>
      <c r="K171" s="4" t="s">
        <v>172</v>
      </c>
    </row>
    <row r="172" spans="1:11" x14ac:dyDescent="0.25">
      <c r="A172" s="3" t="s">
        <v>269</v>
      </c>
      <c r="B172" s="4" t="s">
        <v>461</v>
      </c>
      <c r="C172" s="3" t="s">
        <v>377</v>
      </c>
      <c r="D172" s="4" t="s">
        <v>442</v>
      </c>
      <c r="E172" s="11">
        <v>44256</v>
      </c>
      <c r="F172" s="4">
        <v>9</v>
      </c>
      <c r="G172" s="16">
        <v>700</v>
      </c>
      <c r="H172" s="16">
        <f t="shared" si="2"/>
        <v>6300</v>
      </c>
      <c r="I172" s="14" t="s">
        <v>487</v>
      </c>
      <c r="J172" s="1">
        <v>0.58333333333333337</v>
      </c>
      <c r="K172" s="4" t="s">
        <v>5</v>
      </c>
    </row>
    <row r="173" spans="1:11" x14ac:dyDescent="0.25">
      <c r="A173" s="3" t="s">
        <v>202</v>
      </c>
      <c r="B173" s="4" t="s">
        <v>463</v>
      </c>
      <c r="C173" s="3" t="s">
        <v>392</v>
      </c>
      <c r="D173" s="4" t="s">
        <v>438</v>
      </c>
      <c r="E173" s="11">
        <v>44266</v>
      </c>
      <c r="F173" s="4">
        <v>6</v>
      </c>
      <c r="G173" s="16">
        <v>700</v>
      </c>
      <c r="H173" s="16">
        <f t="shared" si="2"/>
        <v>4200</v>
      </c>
      <c r="I173" s="14" t="s">
        <v>498</v>
      </c>
      <c r="J173" s="1">
        <v>0.33333333333333331</v>
      </c>
      <c r="K173" s="4" t="s">
        <v>11</v>
      </c>
    </row>
    <row r="174" spans="1:11" x14ac:dyDescent="0.25">
      <c r="A174" s="3" t="s">
        <v>262</v>
      </c>
      <c r="B174" s="4" t="s">
        <v>465</v>
      </c>
      <c r="C174" s="3" t="s">
        <v>389</v>
      </c>
      <c r="D174" s="4" t="s">
        <v>455</v>
      </c>
      <c r="E174" s="11">
        <v>44273</v>
      </c>
      <c r="F174" s="4">
        <v>9</v>
      </c>
      <c r="G174" s="16">
        <v>800</v>
      </c>
      <c r="H174" s="16">
        <f t="shared" si="2"/>
        <v>7200</v>
      </c>
      <c r="I174" s="14" t="s">
        <v>494</v>
      </c>
      <c r="J174" s="1">
        <v>0.41666666666666669</v>
      </c>
      <c r="K174" s="4" t="s">
        <v>163</v>
      </c>
    </row>
    <row r="175" spans="1:11" x14ac:dyDescent="0.25">
      <c r="A175" s="3" t="s">
        <v>249</v>
      </c>
      <c r="B175" s="4" t="s">
        <v>463</v>
      </c>
      <c r="C175" s="3" t="s">
        <v>378</v>
      </c>
      <c r="D175" s="4" t="s">
        <v>452</v>
      </c>
      <c r="E175" s="11">
        <v>44261</v>
      </c>
      <c r="F175" s="4">
        <v>6</v>
      </c>
      <c r="G175" s="16">
        <v>700</v>
      </c>
      <c r="H175" s="16">
        <f t="shared" si="2"/>
        <v>4200</v>
      </c>
      <c r="I175" s="14" t="s">
        <v>495</v>
      </c>
      <c r="J175" s="1">
        <v>0.45833333333333331</v>
      </c>
      <c r="K175" s="4" t="s">
        <v>7</v>
      </c>
    </row>
    <row r="176" spans="1:11" x14ac:dyDescent="0.25">
      <c r="A176" s="3" t="s">
        <v>323</v>
      </c>
      <c r="B176" s="4" t="s">
        <v>463</v>
      </c>
      <c r="C176" s="3" t="s">
        <v>393</v>
      </c>
      <c r="D176" s="4" t="s">
        <v>439</v>
      </c>
      <c r="E176" s="11">
        <v>44268</v>
      </c>
      <c r="F176" s="4">
        <v>9</v>
      </c>
      <c r="G176" s="16">
        <v>800</v>
      </c>
      <c r="H176" s="16">
        <f t="shared" si="2"/>
        <v>7200</v>
      </c>
      <c r="I176" s="14" t="s">
        <v>491</v>
      </c>
      <c r="J176" s="1">
        <v>0.58333333333333337</v>
      </c>
      <c r="K176" s="4" t="s">
        <v>15</v>
      </c>
    </row>
    <row r="177" spans="1:11" x14ac:dyDescent="0.25">
      <c r="A177" s="3" t="s">
        <v>248</v>
      </c>
      <c r="B177" s="4" t="s">
        <v>461</v>
      </c>
      <c r="C177" s="3" t="s">
        <v>377</v>
      </c>
      <c r="D177" s="4" t="s">
        <v>442</v>
      </c>
      <c r="E177" s="11">
        <v>44274</v>
      </c>
      <c r="F177" s="4">
        <v>9</v>
      </c>
      <c r="G177" s="16">
        <v>700</v>
      </c>
      <c r="H177" s="16">
        <f t="shared" si="2"/>
        <v>6300</v>
      </c>
      <c r="I177" s="14" t="s">
        <v>28</v>
      </c>
      <c r="J177" s="1">
        <v>0.33333333333333331</v>
      </c>
      <c r="K177" s="4" t="s">
        <v>5</v>
      </c>
    </row>
    <row r="178" spans="1:11" x14ac:dyDescent="0.25">
      <c r="A178" s="3" t="s">
        <v>363</v>
      </c>
      <c r="B178" s="4" t="s">
        <v>463</v>
      </c>
      <c r="C178" s="3" t="s">
        <v>385</v>
      </c>
      <c r="D178" s="4" t="s">
        <v>459</v>
      </c>
      <c r="E178" s="11">
        <v>44281</v>
      </c>
      <c r="F178" s="4">
        <v>9</v>
      </c>
      <c r="G178" s="16">
        <v>1200</v>
      </c>
      <c r="H178" s="16">
        <f t="shared" si="2"/>
        <v>10800</v>
      </c>
      <c r="I178" s="14" t="s">
        <v>26</v>
      </c>
      <c r="J178" s="1">
        <v>0.375</v>
      </c>
      <c r="K178" s="4" t="s">
        <v>174</v>
      </c>
    </row>
    <row r="179" spans="1:11" x14ac:dyDescent="0.25">
      <c r="A179" s="3" t="s">
        <v>332</v>
      </c>
      <c r="B179" s="4" t="s">
        <v>460</v>
      </c>
      <c r="C179" s="3" t="s">
        <v>376</v>
      </c>
      <c r="D179" s="4" t="s">
        <v>441</v>
      </c>
      <c r="E179" s="11">
        <v>44259</v>
      </c>
      <c r="F179" s="4">
        <v>6</v>
      </c>
      <c r="G179" s="16">
        <v>600</v>
      </c>
      <c r="H179" s="16">
        <f t="shared" si="2"/>
        <v>3600</v>
      </c>
      <c r="I179" s="14" t="s">
        <v>492</v>
      </c>
      <c r="J179" s="1">
        <v>0.41666666666666669</v>
      </c>
      <c r="K179" s="4" t="s">
        <v>3</v>
      </c>
    </row>
    <row r="180" spans="1:11" x14ac:dyDescent="0.25">
      <c r="A180" s="3" t="s">
        <v>303</v>
      </c>
      <c r="B180" s="4" t="s">
        <v>463</v>
      </c>
      <c r="C180" s="3" t="s">
        <v>385</v>
      </c>
      <c r="D180" s="4" t="s">
        <v>459</v>
      </c>
      <c r="E180" s="11">
        <v>44267</v>
      </c>
      <c r="F180" s="4">
        <v>9</v>
      </c>
      <c r="G180" s="16">
        <v>1200</v>
      </c>
      <c r="H180" s="16">
        <f t="shared" si="2"/>
        <v>10800</v>
      </c>
      <c r="I180" s="14" t="s">
        <v>485</v>
      </c>
      <c r="J180" s="1">
        <v>0.45833333333333331</v>
      </c>
      <c r="K180" s="4" t="s">
        <v>174</v>
      </c>
    </row>
    <row r="181" spans="1:11" x14ac:dyDescent="0.25">
      <c r="A181" s="3" t="s">
        <v>336</v>
      </c>
      <c r="B181" s="4" t="s">
        <v>463</v>
      </c>
      <c r="C181" s="3" t="s">
        <v>381</v>
      </c>
      <c r="D181" s="4" t="s">
        <v>447</v>
      </c>
      <c r="E181" s="11">
        <v>44273</v>
      </c>
      <c r="F181" s="4">
        <v>6</v>
      </c>
      <c r="G181" s="16">
        <v>1000</v>
      </c>
      <c r="H181" s="16">
        <f t="shared" si="2"/>
        <v>6000</v>
      </c>
      <c r="I181" s="15" t="s">
        <v>486</v>
      </c>
      <c r="J181" s="2">
        <v>0.58333333333333337</v>
      </c>
      <c r="K181" s="4" t="s">
        <v>176</v>
      </c>
    </row>
  </sheetData>
  <mergeCells count="2">
    <mergeCell ref="A1:K1"/>
    <mergeCell ref="A2:K2"/>
  </mergeCells>
  <phoneticPr fontId="4" type="noConversion"/>
  <conditionalFormatting sqref="C51:C52">
    <cfRule type="cellIs" dxfId="368" priority="256" operator="equal">
      <formula>"入門"</formula>
    </cfRule>
    <cfRule type="cellIs" dxfId="367" priority="257" operator="equal">
      <formula>"熱瑜珈"</formula>
    </cfRule>
    <cfRule type="cellIs" dxfId="366" priority="258" operator="equal">
      <formula>"哈達瑜珈"</formula>
    </cfRule>
    <cfRule type="cellIs" dxfId="365" priority="259" operator="equal">
      <formula>"基礎瑜珈"</formula>
    </cfRule>
    <cfRule type="cellIs" dxfId="364" priority="260" operator="equal">
      <formula>"兒童瑜珈"</formula>
    </cfRule>
  </conditionalFormatting>
  <conditionalFormatting sqref="C43:C44">
    <cfRule type="cellIs" dxfId="363" priority="276" operator="equal">
      <formula>"入門"</formula>
    </cfRule>
    <cfRule type="cellIs" dxfId="362" priority="277" operator="equal">
      <formula>"熱瑜珈"</formula>
    </cfRule>
    <cfRule type="cellIs" dxfId="361" priority="278" operator="equal">
      <formula>"哈達瑜珈"</formula>
    </cfRule>
    <cfRule type="cellIs" dxfId="360" priority="279" operator="equal">
      <formula>"基礎瑜珈"</formula>
    </cfRule>
    <cfRule type="cellIs" dxfId="359" priority="280" operator="equal">
      <formula>"兒童瑜珈"</formula>
    </cfRule>
  </conditionalFormatting>
  <conditionalFormatting sqref="C45:C47">
    <cfRule type="cellIs" dxfId="358" priority="271" operator="equal">
      <formula>"入門"</formula>
    </cfRule>
    <cfRule type="cellIs" dxfId="357" priority="272" operator="equal">
      <formula>"熱瑜珈"</formula>
    </cfRule>
    <cfRule type="cellIs" dxfId="356" priority="273" operator="equal">
      <formula>"哈達瑜珈"</formula>
    </cfRule>
    <cfRule type="cellIs" dxfId="355" priority="274" operator="equal">
      <formula>"基礎瑜珈"</formula>
    </cfRule>
    <cfRule type="cellIs" dxfId="354" priority="275" operator="equal">
      <formula>"兒童瑜珈"</formula>
    </cfRule>
  </conditionalFormatting>
  <conditionalFormatting sqref="C34:C38">
    <cfRule type="cellIs" dxfId="353" priority="291" operator="equal">
      <formula>"入門"</formula>
    </cfRule>
    <cfRule type="cellIs" dxfId="352" priority="292" operator="equal">
      <formula>"熱瑜珈"</formula>
    </cfRule>
    <cfRule type="cellIs" dxfId="351" priority="293" operator="equal">
      <formula>"哈達瑜珈"</formula>
    </cfRule>
    <cfRule type="cellIs" dxfId="350" priority="294" operator="equal">
      <formula>"基礎瑜珈"</formula>
    </cfRule>
    <cfRule type="cellIs" dxfId="349" priority="295" operator="equal">
      <formula>"兒童瑜珈"</formula>
    </cfRule>
  </conditionalFormatting>
  <conditionalFormatting sqref="C39:C41">
    <cfRule type="cellIs" dxfId="348" priority="286" operator="equal">
      <formula>"入門"</formula>
    </cfRule>
    <cfRule type="cellIs" dxfId="347" priority="287" operator="equal">
      <formula>"熱瑜珈"</formula>
    </cfRule>
    <cfRule type="cellIs" dxfId="346" priority="288" operator="equal">
      <formula>"哈達瑜珈"</formula>
    </cfRule>
    <cfRule type="cellIs" dxfId="345" priority="289" operator="equal">
      <formula>"基礎瑜珈"</formula>
    </cfRule>
    <cfRule type="cellIs" dxfId="344" priority="290" operator="equal">
      <formula>"兒童瑜珈"</formula>
    </cfRule>
  </conditionalFormatting>
  <conditionalFormatting sqref="C24:C29">
    <cfRule type="cellIs" dxfId="343" priority="306" operator="equal">
      <formula>"入門"</formula>
    </cfRule>
    <cfRule type="cellIs" dxfId="342" priority="307" operator="equal">
      <formula>"熱瑜珈"</formula>
    </cfRule>
    <cfRule type="cellIs" dxfId="341" priority="308" operator="equal">
      <formula>"哈達瑜珈"</formula>
    </cfRule>
    <cfRule type="cellIs" dxfId="340" priority="309" operator="equal">
      <formula>"基礎瑜珈"</formula>
    </cfRule>
    <cfRule type="cellIs" dxfId="339" priority="310" operator="equal">
      <formula>"兒童瑜珈"</formula>
    </cfRule>
  </conditionalFormatting>
  <conditionalFormatting sqref="C30:C32">
    <cfRule type="cellIs" dxfId="338" priority="301" operator="equal">
      <formula>"入門"</formula>
    </cfRule>
    <cfRule type="cellIs" dxfId="337" priority="302" operator="equal">
      <formula>"熱瑜珈"</formula>
    </cfRule>
    <cfRule type="cellIs" dxfId="336" priority="303" operator="equal">
      <formula>"哈達瑜珈"</formula>
    </cfRule>
    <cfRule type="cellIs" dxfId="335" priority="304" operator="equal">
      <formula>"基礎瑜珈"</formula>
    </cfRule>
    <cfRule type="cellIs" dxfId="334" priority="305" operator="equal">
      <formula>"兒童瑜珈"</formula>
    </cfRule>
  </conditionalFormatting>
  <conditionalFormatting sqref="C15:C16">
    <cfRule type="cellIs" dxfId="333" priority="321" operator="equal">
      <formula>"入門"</formula>
    </cfRule>
    <cfRule type="cellIs" dxfId="332" priority="322" operator="equal">
      <formula>"熱瑜珈"</formula>
    </cfRule>
    <cfRule type="cellIs" dxfId="331" priority="323" operator="equal">
      <formula>"哈達瑜珈"</formula>
    </cfRule>
    <cfRule type="cellIs" dxfId="330" priority="324" operator="equal">
      <formula>"基礎瑜珈"</formula>
    </cfRule>
    <cfRule type="cellIs" dxfId="329" priority="325" operator="equal">
      <formula>"兒童瑜珈"</formula>
    </cfRule>
  </conditionalFormatting>
  <conditionalFormatting sqref="C17:C18">
    <cfRule type="cellIs" dxfId="328" priority="316" operator="equal">
      <formula>"入門"</formula>
    </cfRule>
    <cfRule type="cellIs" dxfId="327" priority="317" operator="equal">
      <formula>"熱瑜珈"</formula>
    </cfRule>
    <cfRule type="cellIs" dxfId="326" priority="318" operator="equal">
      <formula>"哈達瑜珈"</formula>
    </cfRule>
    <cfRule type="cellIs" dxfId="325" priority="319" operator="equal">
      <formula>"基礎瑜珈"</formula>
    </cfRule>
    <cfRule type="cellIs" dxfId="324" priority="320" operator="equal">
      <formula>"兒童瑜珈"</formula>
    </cfRule>
  </conditionalFormatting>
  <conditionalFormatting sqref="C4:C9">
    <cfRule type="cellIs" dxfId="323" priority="336" operator="equal">
      <formula>"入門"</formula>
    </cfRule>
    <cfRule type="cellIs" dxfId="322" priority="337" operator="equal">
      <formula>"熱瑜珈"</formula>
    </cfRule>
    <cfRule type="cellIs" dxfId="321" priority="338" operator="equal">
      <formula>"哈達瑜珈"</formula>
    </cfRule>
    <cfRule type="cellIs" dxfId="320" priority="339" operator="equal">
      <formula>"基礎瑜珈"</formula>
    </cfRule>
    <cfRule type="cellIs" dxfId="319" priority="340" operator="equal">
      <formula>"兒童瑜珈"</formula>
    </cfRule>
  </conditionalFormatting>
  <conditionalFormatting sqref="C10:C12">
    <cfRule type="cellIs" dxfId="318" priority="331" operator="equal">
      <formula>"入門"</formula>
    </cfRule>
    <cfRule type="cellIs" dxfId="317" priority="332" operator="equal">
      <formula>"熱瑜珈"</formula>
    </cfRule>
    <cfRule type="cellIs" dxfId="316" priority="333" operator="equal">
      <formula>"哈達瑜珈"</formula>
    </cfRule>
    <cfRule type="cellIs" dxfId="315" priority="334" operator="equal">
      <formula>"基礎瑜珈"</formula>
    </cfRule>
    <cfRule type="cellIs" dxfId="314" priority="335" operator="equal">
      <formula>"兒童瑜珈"</formula>
    </cfRule>
  </conditionalFormatting>
  <conditionalFormatting sqref="C13:C14">
    <cfRule type="cellIs" dxfId="313" priority="326" operator="equal">
      <formula>"入門"</formula>
    </cfRule>
    <cfRule type="cellIs" dxfId="312" priority="327" operator="equal">
      <formula>"熱瑜珈"</formula>
    </cfRule>
    <cfRule type="cellIs" dxfId="311" priority="328" operator="equal">
      <formula>"哈達瑜珈"</formula>
    </cfRule>
    <cfRule type="cellIs" dxfId="310" priority="329" operator="equal">
      <formula>"基礎瑜珈"</formula>
    </cfRule>
    <cfRule type="cellIs" dxfId="309" priority="330" operator="equal">
      <formula>"兒童瑜珈"</formula>
    </cfRule>
  </conditionalFormatting>
  <conditionalFormatting sqref="C19:C23">
    <cfRule type="cellIs" dxfId="308" priority="311" operator="equal">
      <formula>"入門"</formula>
    </cfRule>
    <cfRule type="cellIs" dxfId="307" priority="312" operator="equal">
      <formula>"熱瑜珈"</formula>
    </cfRule>
    <cfRule type="cellIs" dxfId="306" priority="313" operator="equal">
      <formula>"哈達瑜珈"</formula>
    </cfRule>
    <cfRule type="cellIs" dxfId="305" priority="314" operator="equal">
      <formula>"基礎瑜珈"</formula>
    </cfRule>
    <cfRule type="cellIs" dxfId="304" priority="315" operator="equal">
      <formula>"兒童瑜珈"</formula>
    </cfRule>
  </conditionalFormatting>
  <conditionalFormatting sqref="C33">
    <cfRule type="cellIs" dxfId="303" priority="296" operator="equal">
      <formula>"入門"</formula>
    </cfRule>
    <cfRule type="cellIs" dxfId="302" priority="297" operator="equal">
      <formula>"熱瑜珈"</formula>
    </cfRule>
    <cfRule type="cellIs" dxfId="301" priority="298" operator="equal">
      <formula>"哈達瑜珈"</formula>
    </cfRule>
    <cfRule type="cellIs" dxfId="300" priority="299" operator="equal">
      <formula>"基礎瑜珈"</formula>
    </cfRule>
    <cfRule type="cellIs" dxfId="299" priority="300" operator="equal">
      <formula>"兒童瑜珈"</formula>
    </cfRule>
  </conditionalFormatting>
  <conditionalFormatting sqref="C42">
    <cfRule type="cellIs" dxfId="298" priority="281" operator="equal">
      <formula>"入門"</formula>
    </cfRule>
    <cfRule type="cellIs" dxfId="297" priority="282" operator="equal">
      <formula>"熱瑜珈"</formula>
    </cfRule>
    <cfRule type="cellIs" dxfId="296" priority="283" operator="equal">
      <formula>"哈達瑜珈"</formula>
    </cfRule>
    <cfRule type="cellIs" dxfId="295" priority="284" operator="equal">
      <formula>"基礎瑜珈"</formula>
    </cfRule>
    <cfRule type="cellIs" dxfId="294" priority="285" operator="equal">
      <formula>"兒童瑜珈"</formula>
    </cfRule>
  </conditionalFormatting>
  <conditionalFormatting sqref="C48">
    <cfRule type="cellIs" dxfId="293" priority="266" operator="equal">
      <formula>"入門"</formula>
    </cfRule>
    <cfRule type="cellIs" dxfId="292" priority="267" operator="equal">
      <formula>"熱瑜珈"</formula>
    </cfRule>
    <cfRule type="cellIs" dxfId="291" priority="268" operator="equal">
      <formula>"哈達瑜珈"</formula>
    </cfRule>
    <cfRule type="cellIs" dxfId="290" priority="269" operator="equal">
      <formula>"基礎瑜珈"</formula>
    </cfRule>
    <cfRule type="cellIs" dxfId="289" priority="270" operator="equal">
      <formula>"兒童瑜珈"</formula>
    </cfRule>
  </conditionalFormatting>
  <conditionalFormatting sqref="C49:C50">
    <cfRule type="cellIs" dxfId="288" priority="261" operator="equal">
      <formula>"入門"</formula>
    </cfRule>
    <cfRule type="cellIs" dxfId="287" priority="262" operator="equal">
      <formula>"熱瑜珈"</formula>
    </cfRule>
    <cfRule type="cellIs" dxfId="286" priority="263" operator="equal">
      <formula>"哈達瑜珈"</formula>
    </cfRule>
    <cfRule type="cellIs" dxfId="285" priority="264" operator="equal">
      <formula>"基礎瑜珈"</formula>
    </cfRule>
    <cfRule type="cellIs" dxfId="284" priority="265" operator="equal">
      <formula>"兒童瑜珈"</formula>
    </cfRule>
  </conditionalFormatting>
  <conditionalFormatting sqref="C53:C54">
    <cfRule type="cellIs" dxfId="283" priority="251" operator="equal">
      <formula>"入門"</formula>
    </cfRule>
    <cfRule type="cellIs" dxfId="282" priority="252" operator="equal">
      <formula>"熱瑜珈"</formula>
    </cfRule>
    <cfRule type="cellIs" dxfId="281" priority="253" operator="equal">
      <formula>"哈達瑜珈"</formula>
    </cfRule>
    <cfRule type="cellIs" dxfId="280" priority="254" operator="equal">
      <formula>"基礎瑜珈"</formula>
    </cfRule>
    <cfRule type="cellIs" dxfId="279" priority="255" operator="equal">
      <formula>"兒童瑜珈"</formula>
    </cfRule>
  </conditionalFormatting>
  <conditionalFormatting sqref="C55:C57">
    <cfRule type="cellIs" dxfId="278" priority="246" operator="equal">
      <formula>"入門"</formula>
    </cfRule>
    <cfRule type="cellIs" dxfId="277" priority="247" operator="equal">
      <formula>"熱瑜珈"</formula>
    </cfRule>
    <cfRule type="cellIs" dxfId="276" priority="248" operator="equal">
      <formula>"哈達瑜珈"</formula>
    </cfRule>
    <cfRule type="cellIs" dxfId="275" priority="249" operator="equal">
      <formula>"基礎瑜珈"</formula>
    </cfRule>
    <cfRule type="cellIs" dxfId="274" priority="250" operator="equal">
      <formula>"兒童瑜珈"</formula>
    </cfRule>
  </conditionalFormatting>
  <conditionalFormatting sqref="C58">
    <cfRule type="cellIs" dxfId="273" priority="241" operator="equal">
      <formula>"入門"</formula>
    </cfRule>
    <cfRule type="cellIs" dxfId="272" priority="242" operator="equal">
      <formula>"熱瑜珈"</formula>
    </cfRule>
    <cfRule type="cellIs" dxfId="271" priority="243" operator="equal">
      <formula>"哈達瑜珈"</formula>
    </cfRule>
    <cfRule type="cellIs" dxfId="270" priority="244" operator="equal">
      <formula>"基礎瑜珈"</formula>
    </cfRule>
    <cfRule type="cellIs" dxfId="269" priority="245" operator="equal">
      <formula>"兒童瑜珈"</formula>
    </cfRule>
  </conditionalFormatting>
  <conditionalFormatting sqref="C59">
    <cfRule type="cellIs" dxfId="268" priority="236" operator="equal">
      <formula>"入門"</formula>
    </cfRule>
    <cfRule type="cellIs" dxfId="267" priority="237" operator="equal">
      <formula>"熱瑜珈"</formula>
    </cfRule>
    <cfRule type="cellIs" dxfId="266" priority="238" operator="equal">
      <formula>"哈達瑜珈"</formula>
    </cfRule>
    <cfRule type="cellIs" dxfId="265" priority="239" operator="equal">
      <formula>"基礎瑜珈"</formula>
    </cfRule>
    <cfRule type="cellIs" dxfId="264" priority="240" operator="equal">
      <formula>"兒童瑜珈"</formula>
    </cfRule>
  </conditionalFormatting>
  <conditionalFormatting sqref="C60:C61">
    <cfRule type="cellIs" dxfId="263" priority="231" operator="equal">
      <formula>"入門"</formula>
    </cfRule>
    <cfRule type="cellIs" dxfId="262" priority="232" operator="equal">
      <formula>"熱瑜珈"</formula>
    </cfRule>
    <cfRule type="cellIs" dxfId="261" priority="233" operator="equal">
      <formula>"哈達瑜珈"</formula>
    </cfRule>
    <cfRule type="cellIs" dxfId="260" priority="234" operator="equal">
      <formula>"基礎瑜珈"</formula>
    </cfRule>
    <cfRule type="cellIs" dxfId="259" priority="235" operator="equal">
      <formula>"兒童瑜珈"</formula>
    </cfRule>
  </conditionalFormatting>
  <conditionalFormatting sqref="C62:C63">
    <cfRule type="cellIs" dxfId="258" priority="226" operator="equal">
      <formula>"入門"</formula>
    </cfRule>
    <cfRule type="cellIs" dxfId="257" priority="227" operator="equal">
      <formula>"熱瑜珈"</formula>
    </cfRule>
    <cfRule type="cellIs" dxfId="256" priority="228" operator="equal">
      <formula>"哈達瑜珈"</formula>
    </cfRule>
    <cfRule type="cellIs" dxfId="255" priority="229" operator="equal">
      <formula>"基礎瑜珈"</formula>
    </cfRule>
    <cfRule type="cellIs" dxfId="254" priority="230" operator="equal">
      <formula>"兒童瑜珈"</formula>
    </cfRule>
  </conditionalFormatting>
  <conditionalFormatting sqref="C64:C69">
    <cfRule type="cellIs" dxfId="253" priority="221" operator="equal">
      <formula>"入門"</formula>
    </cfRule>
    <cfRule type="cellIs" dxfId="252" priority="222" operator="equal">
      <formula>"熱瑜珈"</formula>
    </cfRule>
    <cfRule type="cellIs" dxfId="251" priority="223" operator="equal">
      <formula>"哈達瑜珈"</formula>
    </cfRule>
    <cfRule type="cellIs" dxfId="250" priority="224" operator="equal">
      <formula>"基礎瑜珈"</formula>
    </cfRule>
    <cfRule type="cellIs" dxfId="249" priority="225" operator="equal">
      <formula>"兒童瑜珈"</formula>
    </cfRule>
  </conditionalFormatting>
  <conditionalFormatting sqref="C70:C75">
    <cfRule type="cellIs" dxfId="248" priority="216" operator="equal">
      <formula>"入門"</formula>
    </cfRule>
    <cfRule type="cellIs" dxfId="247" priority="217" operator="equal">
      <formula>"熱瑜珈"</formula>
    </cfRule>
    <cfRule type="cellIs" dxfId="246" priority="218" operator="equal">
      <formula>"哈達瑜珈"</formula>
    </cfRule>
    <cfRule type="cellIs" dxfId="245" priority="219" operator="equal">
      <formula>"基礎瑜珈"</formula>
    </cfRule>
    <cfRule type="cellIs" dxfId="244" priority="220" operator="equal">
      <formula>"兒童瑜珈"</formula>
    </cfRule>
  </conditionalFormatting>
  <conditionalFormatting sqref="C76:C78">
    <cfRule type="cellIs" dxfId="243" priority="211" operator="equal">
      <formula>"入門"</formula>
    </cfRule>
    <cfRule type="cellIs" dxfId="242" priority="212" operator="equal">
      <formula>"熱瑜珈"</formula>
    </cfRule>
    <cfRule type="cellIs" dxfId="241" priority="213" operator="equal">
      <formula>"哈達瑜珈"</formula>
    </cfRule>
    <cfRule type="cellIs" dxfId="240" priority="214" operator="equal">
      <formula>"基礎瑜珈"</formula>
    </cfRule>
    <cfRule type="cellIs" dxfId="239" priority="215" operator="equal">
      <formula>"兒童瑜珈"</formula>
    </cfRule>
  </conditionalFormatting>
  <conditionalFormatting sqref="C79:C80">
    <cfRule type="cellIs" dxfId="238" priority="206" operator="equal">
      <formula>"入門"</formula>
    </cfRule>
    <cfRule type="cellIs" dxfId="237" priority="207" operator="equal">
      <formula>"熱瑜珈"</formula>
    </cfRule>
    <cfRule type="cellIs" dxfId="236" priority="208" operator="equal">
      <formula>"哈達瑜珈"</formula>
    </cfRule>
    <cfRule type="cellIs" dxfId="235" priority="209" operator="equal">
      <formula>"基礎瑜珈"</formula>
    </cfRule>
    <cfRule type="cellIs" dxfId="234" priority="210" operator="equal">
      <formula>"兒童瑜珈"</formula>
    </cfRule>
  </conditionalFormatting>
  <conditionalFormatting sqref="C81:C82">
    <cfRule type="cellIs" dxfId="233" priority="201" operator="equal">
      <formula>"入門"</formula>
    </cfRule>
    <cfRule type="cellIs" dxfId="232" priority="202" operator="equal">
      <formula>"熱瑜珈"</formula>
    </cfRule>
    <cfRule type="cellIs" dxfId="231" priority="203" operator="equal">
      <formula>"哈達瑜珈"</formula>
    </cfRule>
    <cfRule type="cellIs" dxfId="230" priority="204" operator="equal">
      <formula>"基礎瑜珈"</formula>
    </cfRule>
    <cfRule type="cellIs" dxfId="229" priority="205" operator="equal">
      <formula>"兒童瑜珈"</formula>
    </cfRule>
  </conditionalFormatting>
  <conditionalFormatting sqref="C83:C84">
    <cfRule type="cellIs" dxfId="228" priority="196" operator="equal">
      <formula>"入門"</formula>
    </cfRule>
    <cfRule type="cellIs" dxfId="227" priority="197" operator="equal">
      <formula>"熱瑜珈"</formula>
    </cfRule>
    <cfRule type="cellIs" dxfId="226" priority="198" operator="equal">
      <formula>"哈達瑜珈"</formula>
    </cfRule>
    <cfRule type="cellIs" dxfId="225" priority="199" operator="equal">
      <formula>"基礎瑜珈"</formula>
    </cfRule>
    <cfRule type="cellIs" dxfId="224" priority="200" operator="equal">
      <formula>"兒童瑜珈"</formula>
    </cfRule>
  </conditionalFormatting>
  <conditionalFormatting sqref="C85:C90">
    <cfRule type="cellIs" dxfId="223" priority="191" operator="equal">
      <formula>"入門"</formula>
    </cfRule>
    <cfRule type="cellIs" dxfId="222" priority="192" operator="equal">
      <formula>"熱瑜珈"</formula>
    </cfRule>
    <cfRule type="cellIs" dxfId="221" priority="193" operator="equal">
      <formula>"哈達瑜珈"</formula>
    </cfRule>
    <cfRule type="cellIs" dxfId="220" priority="194" operator="equal">
      <formula>"基礎瑜珈"</formula>
    </cfRule>
    <cfRule type="cellIs" dxfId="219" priority="195" operator="equal">
      <formula>"兒童瑜珈"</formula>
    </cfRule>
  </conditionalFormatting>
  <conditionalFormatting sqref="C91:C93">
    <cfRule type="cellIs" dxfId="218" priority="186" operator="equal">
      <formula>"入門"</formula>
    </cfRule>
    <cfRule type="cellIs" dxfId="217" priority="187" operator="equal">
      <formula>"熱瑜珈"</formula>
    </cfRule>
    <cfRule type="cellIs" dxfId="216" priority="188" operator="equal">
      <formula>"哈達瑜珈"</formula>
    </cfRule>
    <cfRule type="cellIs" dxfId="215" priority="189" operator="equal">
      <formula>"基礎瑜珈"</formula>
    </cfRule>
    <cfRule type="cellIs" dxfId="214" priority="190" operator="equal">
      <formula>"兒童瑜珈"</formula>
    </cfRule>
  </conditionalFormatting>
  <conditionalFormatting sqref="C94:C95">
    <cfRule type="cellIs" dxfId="213" priority="181" operator="equal">
      <formula>"入門"</formula>
    </cfRule>
    <cfRule type="cellIs" dxfId="212" priority="182" operator="equal">
      <formula>"熱瑜珈"</formula>
    </cfRule>
    <cfRule type="cellIs" dxfId="211" priority="183" operator="equal">
      <formula>"哈達瑜珈"</formula>
    </cfRule>
    <cfRule type="cellIs" dxfId="210" priority="184" operator="equal">
      <formula>"基礎瑜珈"</formula>
    </cfRule>
    <cfRule type="cellIs" dxfId="209" priority="185" operator="equal">
      <formula>"兒童瑜珈"</formula>
    </cfRule>
  </conditionalFormatting>
  <conditionalFormatting sqref="C96">
    <cfRule type="cellIs" dxfId="208" priority="176" operator="equal">
      <formula>"入門"</formula>
    </cfRule>
    <cfRule type="cellIs" dxfId="207" priority="177" operator="equal">
      <formula>"熱瑜珈"</formula>
    </cfRule>
    <cfRule type="cellIs" dxfId="206" priority="178" operator="equal">
      <formula>"哈達瑜珈"</formula>
    </cfRule>
    <cfRule type="cellIs" dxfId="205" priority="179" operator="equal">
      <formula>"基礎瑜珈"</formula>
    </cfRule>
    <cfRule type="cellIs" dxfId="204" priority="180" operator="equal">
      <formula>"兒童瑜珈"</formula>
    </cfRule>
  </conditionalFormatting>
  <conditionalFormatting sqref="C97">
    <cfRule type="cellIs" dxfId="203" priority="171" operator="equal">
      <formula>"入門"</formula>
    </cfRule>
    <cfRule type="cellIs" dxfId="202" priority="172" operator="equal">
      <formula>"熱瑜珈"</formula>
    </cfRule>
    <cfRule type="cellIs" dxfId="201" priority="173" operator="equal">
      <formula>"哈達瑜珈"</formula>
    </cfRule>
    <cfRule type="cellIs" dxfId="200" priority="174" operator="equal">
      <formula>"基礎瑜珈"</formula>
    </cfRule>
    <cfRule type="cellIs" dxfId="199" priority="175" operator="equal">
      <formula>"兒童瑜珈"</formula>
    </cfRule>
  </conditionalFormatting>
  <conditionalFormatting sqref="C98:C100">
    <cfRule type="cellIs" dxfId="198" priority="166" operator="equal">
      <formula>"入門"</formula>
    </cfRule>
    <cfRule type="cellIs" dxfId="197" priority="167" operator="equal">
      <formula>"熱瑜珈"</formula>
    </cfRule>
    <cfRule type="cellIs" dxfId="196" priority="168" operator="equal">
      <formula>"哈達瑜珈"</formula>
    </cfRule>
    <cfRule type="cellIs" dxfId="195" priority="169" operator="equal">
      <formula>"基礎瑜珈"</formula>
    </cfRule>
    <cfRule type="cellIs" dxfId="194" priority="170" operator="equal">
      <formula>"兒童瑜珈"</formula>
    </cfRule>
  </conditionalFormatting>
  <conditionalFormatting sqref="C101:C102">
    <cfRule type="cellIs" dxfId="193" priority="161" operator="equal">
      <formula>"入門"</formula>
    </cfRule>
    <cfRule type="cellIs" dxfId="192" priority="162" operator="equal">
      <formula>"熱瑜珈"</formula>
    </cfRule>
    <cfRule type="cellIs" dxfId="191" priority="163" operator="equal">
      <formula>"哈達瑜珈"</formula>
    </cfRule>
    <cfRule type="cellIs" dxfId="190" priority="164" operator="equal">
      <formula>"基礎瑜珈"</formula>
    </cfRule>
    <cfRule type="cellIs" dxfId="189" priority="165" operator="equal">
      <formula>"兒童瑜珈"</formula>
    </cfRule>
  </conditionalFormatting>
  <conditionalFormatting sqref="C103:C105">
    <cfRule type="cellIs" dxfId="188" priority="156" operator="equal">
      <formula>"入門"</formula>
    </cfRule>
    <cfRule type="cellIs" dxfId="187" priority="157" operator="equal">
      <formula>"熱瑜珈"</formula>
    </cfRule>
    <cfRule type="cellIs" dxfId="186" priority="158" operator="equal">
      <formula>"哈達瑜珈"</formula>
    </cfRule>
    <cfRule type="cellIs" dxfId="185" priority="159" operator="equal">
      <formula>"基礎瑜珈"</formula>
    </cfRule>
    <cfRule type="cellIs" dxfId="184" priority="160" operator="equal">
      <formula>"兒童瑜珈"</formula>
    </cfRule>
  </conditionalFormatting>
  <conditionalFormatting sqref="C106:C107">
    <cfRule type="cellIs" dxfId="183" priority="151" operator="equal">
      <formula>"入門"</formula>
    </cfRule>
    <cfRule type="cellIs" dxfId="182" priority="152" operator="equal">
      <formula>"熱瑜珈"</formula>
    </cfRule>
    <cfRule type="cellIs" dxfId="181" priority="153" operator="equal">
      <formula>"哈達瑜珈"</formula>
    </cfRule>
    <cfRule type="cellIs" dxfId="180" priority="154" operator="equal">
      <formula>"基礎瑜珈"</formula>
    </cfRule>
    <cfRule type="cellIs" dxfId="179" priority="155" operator="equal">
      <formula>"兒童瑜珈"</formula>
    </cfRule>
  </conditionalFormatting>
  <conditionalFormatting sqref="C108:C109">
    <cfRule type="cellIs" dxfId="178" priority="146" operator="equal">
      <formula>"入門"</formula>
    </cfRule>
    <cfRule type="cellIs" dxfId="177" priority="147" operator="equal">
      <formula>"熱瑜珈"</formula>
    </cfRule>
    <cfRule type="cellIs" dxfId="176" priority="148" operator="equal">
      <formula>"哈達瑜珈"</formula>
    </cfRule>
    <cfRule type="cellIs" dxfId="175" priority="149" operator="equal">
      <formula>"基礎瑜珈"</formula>
    </cfRule>
    <cfRule type="cellIs" dxfId="174" priority="150" operator="equal">
      <formula>"兒童瑜珈"</formula>
    </cfRule>
  </conditionalFormatting>
  <conditionalFormatting sqref="C110:C111">
    <cfRule type="cellIs" dxfId="173" priority="141" operator="equal">
      <formula>"入門"</formula>
    </cfRule>
    <cfRule type="cellIs" dxfId="172" priority="142" operator="equal">
      <formula>"熱瑜珈"</formula>
    </cfRule>
    <cfRule type="cellIs" dxfId="171" priority="143" operator="equal">
      <formula>"哈達瑜珈"</formula>
    </cfRule>
    <cfRule type="cellIs" dxfId="170" priority="144" operator="equal">
      <formula>"基礎瑜珈"</formula>
    </cfRule>
    <cfRule type="cellIs" dxfId="169" priority="145" operator="equal">
      <formula>"兒童瑜珈"</formula>
    </cfRule>
  </conditionalFormatting>
  <conditionalFormatting sqref="C112:C114">
    <cfRule type="cellIs" dxfId="168" priority="136" operator="equal">
      <formula>"入門"</formula>
    </cfRule>
    <cfRule type="cellIs" dxfId="167" priority="137" operator="equal">
      <formula>"熱瑜珈"</formula>
    </cfRule>
    <cfRule type="cellIs" dxfId="166" priority="138" operator="equal">
      <formula>"哈達瑜珈"</formula>
    </cfRule>
    <cfRule type="cellIs" dxfId="165" priority="139" operator="equal">
      <formula>"基礎瑜珈"</formula>
    </cfRule>
    <cfRule type="cellIs" dxfId="164" priority="140" operator="equal">
      <formula>"兒童瑜珈"</formula>
    </cfRule>
  </conditionalFormatting>
  <conditionalFormatting sqref="C115:C120">
    <cfRule type="cellIs" dxfId="163" priority="131" operator="equal">
      <formula>"入門"</formula>
    </cfRule>
    <cfRule type="cellIs" dxfId="162" priority="132" operator="equal">
      <formula>"熱瑜珈"</formula>
    </cfRule>
    <cfRule type="cellIs" dxfId="161" priority="133" operator="equal">
      <formula>"哈達瑜珈"</formula>
    </cfRule>
    <cfRule type="cellIs" dxfId="160" priority="134" operator="equal">
      <formula>"基礎瑜珈"</formula>
    </cfRule>
    <cfRule type="cellIs" dxfId="159" priority="135" operator="equal">
      <formula>"兒童瑜珈"</formula>
    </cfRule>
  </conditionalFormatting>
  <conditionalFormatting sqref="C121:C126">
    <cfRule type="cellIs" dxfId="158" priority="126" operator="equal">
      <formula>"入門"</formula>
    </cfRule>
    <cfRule type="cellIs" dxfId="157" priority="127" operator="equal">
      <formula>"熱瑜珈"</formula>
    </cfRule>
    <cfRule type="cellIs" dxfId="156" priority="128" operator="equal">
      <formula>"哈達瑜珈"</formula>
    </cfRule>
    <cfRule type="cellIs" dxfId="155" priority="129" operator="equal">
      <formula>"基礎瑜珈"</formula>
    </cfRule>
    <cfRule type="cellIs" dxfId="154" priority="130" operator="equal">
      <formula>"兒童瑜珈"</formula>
    </cfRule>
  </conditionalFormatting>
  <conditionalFormatting sqref="C127:C129">
    <cfRule type="cellIs" dxfId="153" priority="121" operator="equal">
      <formula>"入門"</formula>
    </cfRule>
    <cfRule type="cellIs" dxfId="152" priority="122" operator="equal">
      <formula>"熱瑜珈"</formula>
    </cfRule>
    <cfRule type="cellIs" dxfId="151" priority="123" operator="equal">
      <formula>"哈達瑜珈"</formula>
    </cfRule>
    <cfRule type="cellIs" dxfId="150" priority="124" operator="equal">
      <formula>"基礎瑜珈"</formula>
    </cfRule>
    <cfRule type="cellIs" dxfId="149" priority="125" operator="equal">
      <formula>"兒童瑜珈"</formula>
    </cfRule>
  </conditionalFormatting>
  <conditionalFormatting sqref="C130:C131">
    <cfRule type="cellIs" dxfId="148" priority="116" operator="equal">
      <formula>"入門"</formula>
    </cfRule>
    <cfRule type="cellIs" dxfId="147" priority="117" operator="equal">
      <formula>"熱瑜珈"</formula>
    </cfRule>
    <cfRule type="cellIs" dxfId="146" priority="118" operator="equal">
      <formula>"哈達瑜珈"</formula>
    </cfRule>
    <cfRule type="cellIs" dxfId="145" priority="119" operator="equal">
      <formula>"基礎瑜珈"</formula>
    </cfRule>
    <cfRule type="cellIs" dxfId="144" priority="120" operator="equal">
      <formula>"兒童瑜珈"</formula>
    </cfRule>
  </conditionalFormatting>
  <conditionalFormatting sqref="C132:C133">
    <cfRule type="cellIs" dxfId="143" priority="111" operator="equal">
      <formula>"入門"</formula>
    </cfRule>
    <cfRule type="cellIs" dxfId="142" priority="112" operator="equal">
      <formula>"熱瑜珈"</formula>
    </cfRule>
    <cfRule type="cellIs" dxfId="141" priority="113" operator="equal">
      <formula>"哈達瑜珈"</formula>
    </cfRule>
    <cfRule type="cellIs" dxfId="140" priority="114" operator="equal">
      <formula>"基礎瑜珈"</formula>
    </cfRule>
    <cfRule type="cellIs" dxfId="139" priority="115" operator="equal">
      <formula>"兒童瑜珈"</formula>
    </cfRule>
  </conditionalFormatting>
  <conditionalFormatting sqref="C134:C135">
    <cfRule type="cellIs" dxfId="138" priority="106" operator="equal">
      <formula>"入門"</formula>
    </cfRule>
    <cfRule type="cellIs" dxfId="137" priority="107" operator="equal">
      <formula>"熱瑜珈"</formula>
    </cfRule>
    <cfRule type="cellIs" dxfId="136" priority="108" operator="equal">
      <formula>"哈達瑜珈"</formula>
    </cfRule>
    <cfRule type="cellIs" dxfId="135" priority="109" operator="equal">
      <formula>"基礎瑜珈"</formula>
    </cfRule>
    <cfRule type="cellIs" dxfId="134" priority="110" operator="equal">
      <formula>"兒童瑜珈"</formula>
    </cfRule>
  </conditionalFormatting>
  <conditionalFormatting sqref="C136:C137">
    <cfRule type="cellIs" dxfId="133" priority="101" operator="equal">
      <formula>"入門"</formula>
    </cfRule>
    <cfRule type="cellIs" dxfId="132" priority="102" operator="equal">
      <formula>"熱瑜珈"</formula>
    </cfRule>
    <cfRule type="cellIs" dxfId="131" priority="103" operator="equal">
      <formula>"哈達瑜珈"</formula>
    </cfRule>
    <cfRule type="cellIs" dxfId="130" priority="104" operator="equal">
      <formula>"基礎瑜珈"</formula>
    </cfRule>
    <cfRule type="cellIs" dxfId="129" priority="105" operator="equal">
      <formula>"兒童瑜珈"</formula>
    </cfRule>
  </conditionalFormatting>
  <conditionalFormatting sqref="C138:C139">
    <cfRule type="cellIs" dxfId="128" priority="96" operator="equal">
      <formula>"入門"</formula>
    </cfRule>
    <cfRule type="cellIs" dxfId="127" priority="97" operator="equal">
      <formula>"熱瑜珈"</formula>
    </cfRule>
    <cfRule type="cellIs" dxfId="126" priority="98" operator="equal">
      <formula>"哈達瑜珈"</formula>
    </cfRule>
    <cfRule type="cellIs" dxfId="125" priority="99" operator="equal">
      <formula>"基礎瑜珈"</formula>
    </cfRule>
    <cfRule type="cellIs" dxfId="124" priority="100" operator="equal">
      <formula>"兒童瑜珈"</formula>
    </cfRule>
  </conditionalFormatting>
  <conditionalFormatting sqref="C140:C141">
    <cfRule type="cellIs" dxfId="123" priority="91" operator="equal">
      <formula>"入門"</formula>
    </cfRule>
    <cfRule type="cellIs" dxfId="122" priority="92" operator="equal">
      <formula>"熱瑜珈"</formula>
    </cfRule>
    <cfRule type="cellIs" dxfId="121" priority="93" operator="equal">
      <formula>"哈達瑜珈"</formula>
    </cfRule>
    <cfRule type="cellIs" dxfId="120" priority="94" operator="equal">
      <formula>"基礎瑜珈"</formula>
    </cfRule>
    <cfRule type="cellIs" dxfId="119" priority="95" operator="equal">
      <formula>"兒童瑜珈"</formula>
    </cfRule>
  </conditionalFormatting>
  <conditionalFormatting sqref="C142">
    <cfRule type="cellIs" dxfId="118" priority="86" operator="equal">
      <formula>"入門"</formula>
    </cfRule>
    <cfRule type="cellIs" dxfId="117" priority="87" operator="equal">
      <formula>"熱瑜珈"</formula>
    </cfRule>
    <cfRule type="cellIs" dxfId="116" priority="88" operator="equal">
      <formula>"哈達瑜珈"</formula>
    </cfRule>
    <cfRule type="cellIs" dxfId="115" priority="89" operator="equal">
      <formula>"基礎瑜珈"</formula>
    </cfRule>
    <cfRule type="cellIs" dxfId="114" priority="90" operator="equal">
      <formula>"兒童瑜珈"</formula>
    </cfRule>
  </conditionalFormatting>
  <conditionalFormatting sqref="C143:C148">
    <cfRule type="cellIs" dxfId="113" priority="81" operator="equal">
      <formula>"入門"</formula>
    </cfRule>
    <cfRule type="cellIs" dxfId="112" priority="82" operator="equal">
      <formula>"熱瑜珈"</formula>
    </cfRule>
    <cfRule type="cellIs" dxfId="111" priority="83" operator="equal">
      <formula>"哈達瑜珈"</formula>
    </cfRule>
    <cfRule type="cellIs" dxfId="110" priority="84" operator="equal">
      <formula>"基礎瑜珈"</formula>
    </cfRule>
    <cfRule type="cellIs" dxfId="109" priority="85" operator="equal">
      <formula>"兒童瑜珈"</formula>
    </cfRule>
  </conditionalFormatting>
  <conditionalFormatting sqref="C149">
    <cfRule type="cellIs" dxfId="108" priority="76" operator="equal">
      <formula>"入門"</formula>
    </cfRule>
    <cfRule type="cellIs" dxfId="107" priority="77" operator="equal">
      <formula>"熱瑜珈"</formula>
    </cfRule>
    <cfRule type="cellIs" dxfId="106" priority="78" operator="equal">
      <formula>"哈達瑜珈"</formula>
    </cfRule>
    <cfRule type="cellIs" dxfId="105" priority="79" operator="equal">
      <formula>"基礎瑜珈"</formula>
    </cfRule>
    <cfRule type="cellIs" dxfId="104" priority="80" operator="equal">
      <formula>"兒童瑜珈"</formula>
    </cfRule>
  </conditionalFormatting>
  <conditionalFormatting sqref="C150:C151">
    <cfRule type="cellIs" dxfId="103" priority="71" operator="equal">
      <formula>"入門"</formula>
    </cfRule>
    <cfRule type="cellIs" dxfId="102" priority="72" operator="equal">
      <formula>"熱瑜珈"</formula>
    </cfRule>
    <cfRule type="cellIs" dxfId="101" priority="73" operator="equal">
      <formula>"哈達瑜珈"</formula>
    </cfRule>
    <cfRule type="cellIs" dxfId="100" priority="74" operator="equal">
      <formula>"基礎瑜珈"</formula>
    </cfRule>
    <cfRule type="cellIs" dxfId="99" priority="75" operator="equal">
      <formula>"兒童瑜珈"</formula>
    </cfRule>
  </conditionalFormatting>
  <conditionalFormatting sqref="C152:C153">
    <cfRule type="cellIs" dxfId="98" priority="66" operator="equal">
      <formula>"入門"</formula>
    </cfRule>
    <cfRule type="cellIs" dxfId="97" priority="67" operator="equal">
      <formula>"熱瑜珈"</formula>
    </cfRule>
    <cfRule type="cellIs" dxfId="96" priority="68" operator="equal">
      <formula>"哈達瑜珈"</formula>
    </cfRule>
    <cfRule type="cellIs" dxfId="95" priority="69" operator="equal">
      <formula>"基礎瑜珈"</formula>
    </cfRule>
    <cfRule type="cellIs" dxfId="94" priority="70" operator="equal">
      <formula>"兒童瑜珈"</formula>
    </cfRule>
  </conditionalFormatting>
  <conditionalFormatting sqref="C154">
    <cfRule type="cellIs" dxfId="93" priority="61" operator="equal">
      <formula>"入門"</formula>
    </cfRule>
    <cfRule type="cellIs" dxfId="92" priority="62" operator="equal">
      <formula>"熱瑜珈"</formula>
    </cfRule>
    <cfRule type="cellIs" dxfId="91" priority="63" operator="equal">
      <formula>"哈達瑜珈"</formula>
    </cfRule>
    <cfRule type="cellIs" dxfId="90" priority="64" operator="equal">
      <formula>"基礎瑜珈"</formula>
    </cfRule>
    <cfRule type="cellIs" dxfId="89" priority="65" operator="equal">
      <formula>"兒童瑜珈"</formula>
    </cfRule>
  </conditionalFormatting>
  <conditionalFormatting sqref="C155:C156">
    <cfRule type="cellIs" dxfId="88" priority="56" operator="equal">
      <formula>"入門"</formula>
    </cfRule>
    <cfRule type="cellIs" dxfId="87" priority="57" operator="equal">
      <formula>"熱瑜珈"</formula>
    </cfRule>
    <cfRule type="cellIs" dxfId="86" priority="58" operator="equal">
      <formula>"哈達瑜珈"</formula>
    </cfRule>
    <cfRule type="cellIs" dxfId="85" priority="59" operator="equal">
      <formula>"基礎瑜珈"</formula>
    </cfRule>
    <cfRule type="cellIs" dxfId="84" priority="60" operator="equal">
      <formula>"兒童瑜珈"</formula>
    </cfRule>
  </conditionalFormatting>
  <conditionalFormatting sqref="C157:C160">
    <cfRule type="cellIs" dxfId="83" priority="51" operator="equal">
      <formula>"入門"</formula>
    </cfRule>
    <cfRule type="cellIs" dxfId="82" priority="52" operator="equal">
      <formula>"熱瑜珈"</formula>
    </cfRule>
    <cfRule type="cellIs" dxfId="81" priority="53" operator="equal">
      <formula>"哈達瑜珈"</formula>
    </cfRule>
    <cfRule type="cellIs" dxfId="80" priority="54" operator="equal">
      <formula>"基礎瑜珈"</formula>
    </cfRule>
    <cfRule type="cellIs" dxfId="79" priority="55" operator="equal">
      <formula>"兒童瑜珈"</formula>
    </cfRule>
  </conditionalFormatting>
  <conditionalFormatting sqref="C161:C162">
    <cfRule type="cellIs" dxfId="78" priority="46" operator="equal">
      <formula>"入門"</formula>
    </cfRule>
    <cfRule type="cellIs" dxfId="77" priority="47" operator="equal">
      <formula>"熱瑜珈"</formula>
    </cfRule>
    <cfRule type="cellIs" dxfId="76" priority="48" operator="equal">
      <formula>"哈達瑜珈"</formula>
    </cfRule>
    <cfRule type="cellIs" dxfId="75" priority="49" operator="equal">
      <formula>"基礎瑜珈"</formula>
    </cfRule>
    <cfRule type="cellIs" dxfId="74" priority="50" operator="equal">
      <formula>"兒童瑜珈"</formula>
    </cfRule>
  </conditionalFormatting>
  <conditionalFormatting sqref="C163:C165">
    <cfRule type="cellIs" dxfId="73" priority="41" operator="equal">
      <formula>"入門"</formula>
    </cfRule>
    <cfRule type="cellIs" dxfId="72" priority="42" operator="equal">
      <formula>"熱瑜珈"</formula>
    </cfRule>
    <cfRule type="cellIs" dxfId="71" priority="43" operator="equal">
      <formula>"哈達瑜珈"</formula>
    </cfRule>
    <cfRule type="cellIs" dxfId="70" priority="44" operator="equal">
      <formula>"基礎瑜珈"</formula>
    </cfRule>
    <cfRule type="cellIs" dxfId="69" priority="45" operator="equal">
      <formula>"兒童瑜珈"</formula>
    </cfRule>
  </conditionalFormatting>
  <conditionalFormatting sqref="C166:C167">
    <cfRule type="cellIs" dxfId="68" priority="36" operator="equal">
      <formula>"入門"</formula>
    </cfRule>
    <cfRule type="cellIs" dxfId="67" priority="37" operator="equal">
      <formula>"熱瑜珈"</formula>
    </cfRule>
    <cfRule type="cellIs" dxfId="66" priority="38" operator="equal">
      <formula>"哈達瑜珈"</formula>
    </cfRule>
    <cfRule type="cellIs" dxfId="65" priority="39" operator="equal">
      <formula>"基礎瑜珈"</formula>
    </cfRule>
    <cfRule type="cellIs" dxfId="64" priority="40" operator="equal">
      <formula>"兒童瑜珈"</formula>
    </cfRule>
  </conditionalFormatting>
  <conditionalFormatting sqref="C168">
    <cfRule type="cellIs" dxfId="63" priority="31" operator="equal">
      <formula>"入門"</formula>
    </cfRule>
    <cfRule type="cellIs" dxfId="62" priority="32" operator="equal">
      <formula>"熱瑜珈"</formula>
    </cfRule>
    <cfRule type="cellIs" dxfId="61" priority="33" operator="equal">
      <formula>"哈達瑜珈"</formula>
    </cfRule>
    <cfRule type="cellIs" dxfId="60" priority="34" operator="equal">
      <formula>"基礎瑜珈"</formula>
    </cfRule>
    <cfRule type="cellIs" dxfId="59" priority="35" operator="equal">
      <formula>"兒童瑜珈"</formula>
    </cfRule>
  </conditionalFormatting>
  <conditionalFormatting sqref="C169:C172">
    <cfRule type="cellIs" dxfId="58" priority="26" operator="equal">
      <formula>"入門"</formula>
    </cfRule>
    <cfRule type="cellIs" dxfId="57" priority="27" operator="equal">
      <formula>"熱瑜珈"</formula>
    </cfRule>
    <cfRule type="cellIs" dxfId="56" priority="28" operator="equal">
      <formula>"哈達瑜珈"</formula>
    </cfRule>
    <cfRule type="cellIs" dxfId="55" priority="29" operator="equal">
      <formula>"基礎瑜珈"</formula>
    </cfRule>
    <cfRule type="cellIs" dxfId="54" priority="30" operator="equal">
      <formula>"兒童瑜珈"</formula>
    </cfRule>
  </conditionalFormatting>
  <conditionalFormatting sqref="C173:C174">
    <cfRule type="cellIs" dxfId="53" priority="21" operator="equal">
      <formula>"入門"</formula>
    </cfRule>
    <cfRule type="cellIs" dxfId="52" priority="22" operator="equal">
      <formula>"熱瑜珈"</formula>
    </cfRule>
    <cfRule type="cellIs" dxfId="51" priority="23" operator="equal">
      <formula>"哈達瑜珈"</formula>
    </cfRule>
    <cfRule type="cellIs" dxfId="50" priority="24" operator="equal">
      <formula>"基礎瑜珈"</formula>
    </cfRule>
    <cfRule type="cellIs" dxfId="49" priority="25" operator="equal">
      <formula>"兒童瑜珈"</formula>
    </cfRule>
  </conditionalFormatting>
  <conditionalFormatting sqref="C175:C176">
    <cfRule type="cellIs" dxfId="48" priority="16" operator="equal">
      <formula>"入門"</formula>
    </cfRule>
    <cfRule type="cellIs" dxfId="47" priority="17" operator="equal">
      <formula>"熱瑜珈"</formula>
    </cfRule>
    <cfRule type="cellIs" dxfId="46" priority="18" operator="equal">
      <formula>"哈達瑜珈"</formula>
    </cfRule>
    <cfRule type="cellIs" dxfId="45" priority="19" operator="equal">
      <formula>"基礎瑜珈"</formula>
    </cfRule>
    <cfRule type="cellIs" dxfId="44" priority="20" operator="equal">
      <formula>"兒童瑜珈"</formula>
    </cfRule>
  </conditionalFormatting>
  <conditionalFormatting sqref="C177">
    <cfRule type="cellIs" dxfId="43" priority="11" operator="equal">
      <formula>"入門"</formula>
    </cfRule>
    <cfRule type="cellIs" dxfId="42" priority="12" operator="equal">
      <formula>"熱瑜珈"</formula>
    </cfRule>
    <cfRule type="cellIs" dxfId="41" priority="13" operator="equal">
      <formula>"哈達瑜珈"</formula>
    </cfRule>
    <cfRule type="cellIs" dxfId="40" priority="14" operator="equal">
      <formula>"基礎瑜珈"</formula>
    </cfRule>
    <cfRule type="cellIs" dxfId="39" priority="15" operator="equal">
      <formula>"兒童瑜珈"</formula>
    </cfRule>
  </conditionalFormatting>
  <conditionalFormatting sqref="C178:C179">
    <cfRule type="cellIs" dxfId="38" priority="6" operator="equal">
      <formula>"入門"</formula>
    </cfRule>
    <cfRule type="cellIs" dxfId="37" priority="7" operator="equal">
      <formula>"熱瑜珈"</formula>
    </cfRule>
    <cfRule type="cellIs" dxfId="36" priority="8" operator="equal">
      <formula>"哈達瑜珈"</formula>
    </cfRule>
    <cfRule type="cellIs" dxfId="35" priority="9" operator="equal">
      <formula>"基礎瑜珈"</formula>
    </cfRule>
    <cfRule type="cellIs" dxfId="34" priority="10" operator="equal">
      <formula>"兒童瑜珈"</formula>
    </cfRule>
  </conditionalFormatting>
  <conditionalFormatting sqref="C180:C181">
    <cfRule type="cellIs" dxfId="33" priority="1" operator="equal">
      <formula>"入門"</formula>
    </cfRule>
    <cfRule type="cellIs" dxfId="32" priority="2" operator="equal">
      <formula>"熱瑜珈"</formula>
    </cfRule>
    <cfRule type="cellIs" dxfId="31" priority="3" operator="equal">
      <formula>"哈達瑜珈"</formula>
    </cfRule>
    <cfRule type="cellIs" dxfId="30" priority="4" operator="equal">
      <formula>"基礎瑜珈"</formula>
    </cfRule>
    <cfRule type="cellIs" dxfId="29" priority="5" operator="equal">
      <formula>"兒童瑜珈"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E995-4AC3-4C35-9A9B-513865014A56}">
  <dimension ref="A1:H25"/>
  <sheetViews>
    <sheetView workbookViewId="0">
      <selection sqref="A1:H1"/>
    </sheetView>
  </sheetViews>
  <sheetFormatPr defaultRowHeight="15" x14ac:dyDescent="0.25"/>
  <cols>
    <col min="1" max="2" width="9" style="4"/>
    <col min="3" max="3" width="10.25" style="4" customWidth="1"/>
    <col min="4" max="6" width="9" style="4"/>
    <col min="7" max="7" width="19.5" style="4" bestFit="1" customWidth="1"/>
    <col min="8" max="8" width="10.25" style="4" customWidth="1"/>
    <col min="9" max="16384" width="9" style="4"/>
  </cols>
  <sheetData>
    <row r="1" spans="1:8" ht="20.25" x14ac:dyDescent="0.25">
      <c r="A1" s="43" t="s">
        <v>428</v>
      </c>
      <c r="B1" s="43"/>
      <c r="C1" s="43"/>
      <c r="D1" s="43"/>
      <c r="E1" s="43"/>
      <c r="F1" s="43"/>
      <c r="G1" s="43"/>
      <c r="H1" s="43"/>
    </row>
    <row r="2" spans="1:8" ht="18.75" x14ac:dyDescent="0.25">
      <c r="A2" s="44" t="s">
        <v>433</v>
      </c>
      <c r="B2" s="44"/>
      <c r="C2" s="44"/>
      <c r="D2" s="44"/>
      <c r="E2" s="44"/>
      <c r="F2" s="44"/>
      <c r="G2" s="44"/>
      <c r="H2" s="44"/>
    </row>
    <row r="3" spans="1:8" x14ac:dyDescent="0.25">
      <c r="A3" s="7" t="s">
        <v>420</v>
      </c>
      <c r="B3" s="7" t="s">
        <v>422</v>
      </c>
      <c r="C3" s="7" t="s">
        <v>1</v>
      </c>
      <c r="D3" s="7" t="s">
        <v>0</v>
      </c>
      <c r="E3" s="8" t="s">
        <v>436</v>
      </c>
      <c r="F3" s="7" t="s">
        <v>371</v>
      </c>
      <c r="G3" s="7" t="s">
        <v>424</v>
      </c>
      <c r="H3" s="9" t="s">
        <v>423</v>
      </c>
    </row>
    <row r="4" spans="1:8" x14ac:dyDescent="0.25">
      <c r="A4" s="3" t="s">
        <v>398</v>
      </c>
      <c r="B4" s="3" t="s">
        <v>4</v>
      </c>
      <c r="C4" s="3" t="s">
        <v>376</v>
      </c>
      <c r="D4" s="3" t="s">
        <v>18</v>
      </c>
      <c r="E4" s="5">
        <v>6</v>
      </c>
      <c r="F4" s="3" t="s">
        <v>373</v>
      </c>
      <c r="G4" s="3" t="s">
        <v>427</v>
      </c>
      <c r="H4" s="3">
        <v>1600</v>
      </c>
    </row>
    <row r="5" spans="1:8" x14ac:dyDescent="0.25">
      <c r="A5" s="3" t="s">
        <v>399</v>
      </c>
      <c r="B5" s="3" t="s">
        <v>6</v>
      </c>
      <c r="C5" s="3" t="s">
        <v>377</v>
      </c>
      <c r="D5" s="3" t="s">
        <v>18</v>
      </c>
      <c r="E5" s="5">
        <v>9</v>
      </c>
      <c r="F5" s="3" t="s">
        <v>372</v>
      </c>
      <c r="G5" s="3" t="s">
        <v>427</v>
      </c>
      <c r="H5" s="3">
        <v>1800</v>
      </c>
    </row>
    <row r="6" spans="1:8" x14ac:dyDescent="0.25">
      <c r="A6" s="3" t="s">
        <v>400</v>
      </c>
      <c r="B6" s="3" t="s">
        <v>8</v>
      </c>
      <c r="C6" s="3" t="s">
        <v>378</v>
      </c>
      <c r="D6" s="3" t="s">
        <v>20</v>
      </c>
      <c r="E6" s="5">
        <v>6</v>
      </c>
      <c r="F6" s="3" t="s">
        <v>373</v>
      </c>
      <c r="G6" s="3" t="s">
        <v>427</v>
      </c>
      <c r="H6" s="3">
        <v>1800</v>
      </c>
    </row>
    <row r="7" spans="1:8" x14ac:dyDescent="0.25">
      <c r="A7" s="3" t="s">
        <v>401</v>
      </c>
      <c r="B7" s="3" t="s">
        <v>10</v>
      </c>
      <c r="C7" s="3" t="s">
        <v>379</v>
      </c>
      <c r="D7" s="3" t="s">
        <v>20</v>
      </c>
      <c r="E7" s="5">
        <v>9</v>
      </c>
      <c r="F7" s="3" t="s">
        <v>372</v>
      </c>
      <c r="G7" s="3" t="s">
        <v>427</v>
      </c>
      <c r="H7" s="3">
        <v>2200</v>
      </c>
    </row>
    <row r="8" spans="1:8" x14ac:dyDescent="0.25">
      <c r="A8" s="3" t="s">
        <v>402</v>
      </c>
      <c r="B8" s="3" t="s">
        <v>12</v>
      </c>
      <c r="C8" s="3" t="s">
        <v>392</v>
      </c>
      <c r="D8" s="3" t="s">
        <v>19</v>
      </c>
      <c r="E8" s="5">
        <v>6</v>
      </c>
      <c r="F8" s="3" t="s">
        <v>373</v>
      </c>
      <c r="G8" s="3" t="s">
        <v>427</v>
      </c>
      <c r="H8" s="3">
        <v>2400</v>
      </c>
    </row>
    <row r="9" spans="1:8" x14ac:dyDescent="0.25">
      <c r="A9" s="3" t="s">
        <v>403</v>
      </c>
      <c r="B9" s="3" t="s">
        <v>16</v>
      </c>
      <c r="C9" s="3" t="s">
        <v>393</v>
      </c>
      <c r="D9" s="3" t="s">
        <v>19</v>
      </c>
      <c r="E9" s="5">
        <v>9</v>
      </c>
      <c r="F9" s="3" t="s">
        <v>372</v>
      </c>
      <c r="G9" s="3" t="s">
        <v>427</v>
      </c>
      <c r="H9" s="3">
        <v>3600</v>
      </c>
    </row>
    <row r="10" spans="1:8" x14ac:dyDescent="0.25">
      <c r="A10" s="3" t="s">
        <v>404</v>
      </c>
      <c r="B10" s="3" t="s">
        <v>14</v>
      </c>
      <c r="C10" s="3" t="s">
        <v>394</v>
      </c>
      <c r="D10" s="3" t="s">
        <v>19</v>
      </c>
      <c r="E10" s="5">
        <v>9</v>
      </c>
      <c r="F10" s="3" t="s">
        <v>374</v>
      </c>
      <c r="G10" s="3" t="s">
        <v>425</v>
      </c>
      <c r="H10" s="3">
        <v>3600</v>
      </c>
    </row>
    <row r="11" spans="1:8" x14ac:dyDescent="0.25">
      <c r="A11" s="3" t="s">
        <v>405</v>
      </c>
      <c r="B11" s="3" t="s">
        <v>182</v>
      </c>
      <c r="C11" s="3" t="s">
        <v>389</v>
      </c>
      <c r="D11" s="3" t="s">
        <v>22</v>
      </c>
      <c r="E11" s="5">
        <v>9</v>
      </c>
      <c r="F11" s="3" t="s">
        <v>373</v>
      </c>
      <c r="G11" s="3" t="s">
        <v>426</v>
      </c>
      <c r="H11" s="3">
        <v>3600</v>
      </c>
    </row>
    <row r="12" spans="1:8" x14ac:dyDescent="0.25">
      <c r="A12" s="3" t="s">
        <v>406</v>
      </c>
      <c r="B12" s="3" t="s">
        <v>184</v>
      </c>
      <c r="C12" s="3" t="s">
        <v>390</v>
      </c>
      <c r="D12" s="3" t="s">
        <v>22</v>
      </c>
      <c r="E12" s="5">
        <v>12</v>
      </c>
      <c r="F12" s="3" t="s">
        <v>372</v>
      </c>
      <c r="G12" s="3" t="s">
        <v>426</v>
      </c>
      <c r="H12" s="3">
        <v>4800</v>
      </c>
    </row>
    <row r="13" spans="1:8" x14ac:dyDescent="0.25">
      <c r="A13" s="3" t="s">
        <v>407</v>
      </c>
      <c r="B13" s="3" t="s">
        <v>185</v>
      </c>
      <c r="C13" s="3" t="s">
        <v>391</v>
      </c>
      <c r="D13" s="3" t="s">
        <v>22</v>
      </c>
      <c r="E13" s="5">
        <v>9</v>
      </c>
      <c r="F13" s="3" t="s">
        <v>374</v>
      </c>
      <c r="G13" s="3" t="s">
        <v>426</v>
      </c>
      <c r="H13" s="3">
        <v>3600</v>
      </c>
    </row>
    <row r="14" spans="1:8" x14ac:dyDescent="0.25">
      <c r="A14" s="3" t="s">
        <v>408</v>
      </c>
      <c r="B14" s="3" t="s">
        <v>187</v>
      </c>
      <c r="C14" s="3" t="s">
        <v>395</v>
      </c>
      <c r="D14" s="3" t="s">
        <v>25</v>
      </c>
      <c r="E14" s="5">
        <v>9</v>
      </c>
      <c r="F14" s="3" t="s">
        <v>373</v>
      </c>
      <c r="G14" s="3" t="s">
        <v>425</v>
      </c>
      <c r="H14" s="3">
        <v>3600</v>
      </c>
    </row>
    <row r="15" spans="1:8" x14ac:dyDescent="0.25">
      <c r="A15" s="3" t="s">
        <v>409</v>
      </c>
      <c r="B15" s="3" t="s">
        <v>188</v>
      </c>
      <c r="C15" s="3" t="s">
        <v>396</v>
      </c>
      <c r="D15" s="3" t="s">
        <v>25</v>
      </c>
      <c r="E15" s="5">
        <v>12</v>
      </c>
      <c r="F15" s="3" t="s">
        <v>372</v>
      </c>
      <c r="G15" s="3" t="s">
        <v>425</v>
      </c>
      <c r="H15" s="3">
        <v>4800</v>
      </c>
    </row>
    <row r="16" spans="1:8" x14ac:dyDescent="0.25">
      <c r="A16" s="3" t="s">
        <v>410</v>
      </c>
      <c r="B16" s="3" t="s">
        <v>189</v>
      </c>
      <c r="C16" s="3" t="s">
        <v>397</v>
      </c>
      <c r="D16" s="3" t="s">
        <v>25</v>
      </c>
      <c r="E16" s="5">
        <v>12</v>
      </c>
      <c r="F16" s="3" t="s">
        <v>374</v>
      </c>
      <c r="G16" s="3" t="s">
        <v>425</v>
      </c>
      <c r="H16" s="3">
        <v>4800</v>
      </c>
    </row>
    <row r="17" spans="1:8" x14ac:dyDescent="0.25">
      <c r="A17" s="3" t="s">
        <v>411</v>
      </c>
      <c r="B17" s="3" t="s">
        <v>190</v>
      </c>
      <c r="C17" s="3" t="s">
        <v>386</v>
      </c>
      <c r="D17" s="3" t="s">
        <v>21</v>
      </c>
      <c r="E17" s="5">
        <v>6</v>
      </c>
      <c r="F17" s="3" t="s">
        <v>373</v>
      </c>
      <c r="G17" s="3" t="s">
        <v>427</v>
      </c>
      <c r="H17" s="3">
        <v>2400</v>
      </c>
    </row>
    <row r="18" spans="1:8" x14ac:dyDescent="0.25">
      <c r="A18" s="3" t="s">
        <v>412</v>
      </c>
      <c r="B18" s="3" t="s">
        <v>191</v>
      </c>
      <c r="C18" s="3" t="s">
        <v>387</v>
      </c>
      <c r="D18" s="3" t="s">
        <v>21</v>
      </c>
      <c r="E18" s="5">
        <v>9</v>
      </c>
      <c r="F18" s="3" t="s">
        <v>372</v>
      </c>
      <c r="G18" s="3" t="s">
        <v>425</v>
      </c>
      <c r="H18" s="3">
        <v>3600</v>
      </c>
    </row>
    <row r="19" spans="1:8" x14ac:dyDescent="0.25">
      <c r="A19" s="3" t="s">
        <v>413</v>
      </c>
      <c r="B19" s="3" t="s">
        <v>193</v>
      </c>
      <c r="C19" s="3" t="s">
        <v>388</v>
      </c>
      <c r="D19" s="3" t="s">
        <v>21</v>
      </c>
      <c r="E19" s="5">
        <v>12</v>
      </c>
      <c r="F19" s="3" t="s">
        <v>374</v>
      </c>
      <c r="G19" s="3" t="s">
        <v>425</v>
      </c>
      <c r="H19" s="3">
        <v>4800</v>
      </c>
    </row>
    <row r="20" spans="1:8" x14ac:dyDescent="0.25">
      <c r="A20" s="3" t="s">
        <v>414</v>
      </c>
      <c r="B20" s="3" t="s">
        <v>194</v>
      </c>
      <c r="C20" s="3" t="s">
        <v>383</v>
      </c>
      <c r="D20" s="3" t="s">
        <v>23</v>
      </c>
      <c r="E20" s="5">
        <v>3</v>
      </c>
      <c r="F20" s="3" t="s">
        <v>373</v>
      </c>
      <c r="G20" s="3" t="s">
        <v>427</v>
      </c>
      <c r="H20" s="3">
        <v>1200</v>
      </c>
    </row>
    <row r="21" spans="1:8" x14ac:dyDescent="0.25">
      <c r="A21" s="3" t="s">
        <v>415</v>
      </c>
      <c r="B21" s="3" t="s">
        <v>196</v>
      </c>
      <c r="C21" s="3" t="s">
        <v>384</v>
      </c>
      <c r="D21" s="3" t="s">
        <v>23</v>
      </c>
      <c r="E21" s="5">
        <v>6</v>
      </c>
      <c r="F21" s="3" t="s">
        <v>372</v>
      </c>
      <c r="G21" s="3" t="s">
        <v>426</v>
      </c>
      <c r="H21" s="3">
        <v>2400</v>
      </c>
    </row>
    <row r="22" spans="1:8" x14ac:dyDescent="0.25">
      <c r="A22" s="3" t="s">
        <v>416</v>
      </c>
      <c r="B22" s="3" t="s">
        <v>198</v>
      </c>
      <c r="C22" s="3" t="s">
        <v>385</v>
      </c>
      <c r="D22" s="4" t="s">
        <v>23</v>
      </c>
      <c r="E22" s="6">
        <v>9</v>
      </c>
      <c r="F22" s="3" t="s">
        <v>374</v>
      </c>
      <c r="G22" s="3" t="s">
        <v>426</v>
      </c>
      <c r="H22" s="3">
        <v>3600</v>
      </c>
    </row>
    <row r="23" spans="1:8" x14ac:dyDescent="0.25">
      <c r="A23" s="3" t="s">
        <v>417</v>
      </c>
      <c r="B23" s="3" t="s">
        <v>200</v>
      </c>
      <c r="C23" s="3" t="s">
        <v>380</v>
      </c>
      <c r="D23" s="3" t="s">
        <v>24</v>
      </c>
      <c r="E23" s="5">
        <v>3</v>
      </c>
      <c r="F23" s="3" t="s">
        <v>373</v>
      </c>
      <c r="G23" s="3" t="s">
        <v>427</v>
      </c>
      <c r="H23" s="3">
        <v>1200</v>
      </c>
    </row>
    <row r="24" spans="1:8" x14ac:dyDescent="0.25">
      <c r="A24" s="3" t="s">
        <v>418</v>
      </c>
      <c r="B24" s="3" t="s">
        <v>201</v>
      </c>
      <c r="C24" s="3" t="s">
        <v>381</v>
      </c>
      <c r="D24" s="4" t="s">
        <v>24</v>
      </c>
      <c r="E24" s="6">
        <v>6</v>
      </c>
      <c r="F24" s="3" t="s">
        <v>372</v>
      </c>
      <c r="G24" s="3" t="s">
        <v>427</v>
      </c>
      <c r="H24" s="3">
        <v>2400</v>
      </c>
    </row>
    <row r="25" spans="1:8" x14ac:dyDescent="0.25">
      <c r="A25" s="3" t="s">
        <v>419</v>
      </c>
      <c r="B25" s="3" t="s">
        <v>203</v>
      </c>
      <c r="C25" s="3" t="s">
        <v>382</v>
      </c>
      <c r="D25" s="4" t="s">
        <v>24</v>
      </c>
      <c r="E25" s="6">
        <v>9</v>
      </c>
      <c r="F25" s="3" t="s">
        <v>374</v>
      </c>
      <c r="G25" s="3" t="s">
        <v>425</v>
      </c>
      <c r="H25" s="3">
        <v>3600</v>
      </c>
    </row>
  </sheetData>
  <mergeCells count="2">
    <mergeCell ref="A1:H1"/>
    <mergeCell ref="A2:H2"/>
  </mergeCells>
  <phoneticPr fontId="4" type="noConversion"/>
  <conditionalFormatting sqref="A4:H25">
    <cfRule type="cellIs" dxfId="28" priority="1086" operator="equal">
      <formula>"入門"</formula>
    </cfRule>
    <cfRule type="cellIs" dxfId="27" priority="1087" operator="equal">
      <formula>"熱瑜珈"</formula>
    </cfRule>
    <cfRule type="cellIs" dxfId="26" priority="1088" operator="equal">
      <formula>"哈達瑜珈"</formula>
    </cfRule>
    <cfRule type="cellIs" dxfId="25" priority="1089" operator="equal">
      <formula>"基礎瑜珈"</formula>
    </cfRule>
    <cfRule type="cellIs" dxfId="24" priority="1090" operator="equal">
      <formula>"兒童瑜珈"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D9D7-937F-4379-9DD7-8F1E3A08833F}">
  <dimension ref="A1:B13"/>
  <sheetViews>
    <sheetView workbookViewId="0">
      <selection sqref="A1:B1"/>
    </sheetView>
  </sheetViews>
  <sheetFormatPr defaultRowHeight="15" x14ac:dyDescent="0.25"/>
  <cols>
    <col min="1" max="1" width="22.125" style="4" customWidth="1"/>
    <col min="2" max="2" width="14.375" style="4" customWidth="1"/>
    <col min="3" max="16384" width="9" style="4"/>
  </cols>
  <sheetData>
    <row r="1" spans="1:2" ht="20.25" x14ac:dyDescent="0.25">
      <c r="A1" s="41" t="s">
        <v>428</v>
      </c>
      <c r="B1" s="41"/>
    </row>
    <row r="2" spans="1:2" ht="18.75" x14ac:dyDescent="0.25">
      <c r="A2" s="47" t="s">
        <v>468</v>
      </c>
      <c r="B2" s="47"/>
    </row>
    <row r="3" spans="1:2" x14ac:dyDescent="0.25">
      <c r="A3" s="13" t="s">
        <v>476</v>
      </c>
      <c r="B3" s="13" t="s">
        <v>469</v>
      </c>
    </row>
    <row r="4" spans="1:2" x14ac:dyDescent="0.25">
      <c r="A4" s="4" t="s">
        <v>477</v>
      </c>
      <c r="B4" s="4" t="s">
        <v>470</v>
      </c>
    </row>
    <row r="5" spans="1:2" x14ac:dyDescent="0.25">
      <c r="A5" s="4" t="s">
        <v>478</v>
      </c>
      <c r="B5" s="4" t="s">
        <v>471</v>
      </c>
    </row>
    <row r="6" spans="1:2" x14ac:dyDescent="0.25">
      <c r="A6" s="4" t="s">
        <v>479</v>
      </c>
      <c r="B6" s="4" t="s">
        <v>472</v>
      </c>
    </row>
    <row r="7" spans="1:2" x14ac:dyDescent="0.25">
      <c r="A7" s="4" t="s">
        <v>480</v>
      </c>
      <c r="B7" s="4" t="s">
        <v>473</v>
      </c>
    </row>
    <row r="8" spans="1:2" x14ac:dyDescent="0.25">
      <c r="A8" s="4" t="s">
        <v>481</v>
      </c>
      <c r="B8" s="4" t="s">
        <v>474</v>
      </c>
    </row>
    <row r="9" spans="1:2" x14ac:dyDescent="0.25">
      <c r="A9" s="4" t="s">
        <v>482</v>
      </c>
      <c r="B9" s="4" t="s">
        <v>475</v>
      </c>
    </row>
    <row r="10" spans="1:2" ht="15.75" thickBot="1" x14ac:dyDescent="0.3"/>
    <row r="11" spans="1:2" ht="15.75" thickTop="1" x14ac:dyDescent="0.25">
      <c r="A11" s="45" t="s">
        <v>483</v>
      </c>
      <c r="B11" s="12">
        <v>44240</v>
      </c>
    </row>
    <row r="12" spans="1:2" ht="15.75" thickBot="1" x14ac:dyDescent="0.3">
      <c r="A12" s="46"/>
      <c r="B12" s="50"/>
    </row>
    <row r="13" spans="1:2" ht="15.75" thickTop="1" x14ac:dyDescent="0.25"/>
  </sheetData>
  <mergeCells count="3">
    <mergeCell ref="A11:A12"/>
    <mergeCell ref="A1:B1"/>
    <mergeCell ref="A2:B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1AF1-B153-4326-8624-F10D7B39C36B}">
  <dimension ref="A1:D171"/>
  <sheetViews>
    <sheetView workbookViewId="0">
      <selection sqref="A1:D1"/>
    </sheetView>
  </sheetViews>
  <sheetFormatPr defaultRowHeight="15" x14ac:dyDescent="0.25"/>
  <cols>
    <col min="1" max="1" width="14.125" style="34" bestFit="1" customWidth="1"/>
    <col min="2" max="2" width="14.125" style="34" customWidth="1"/>
    <col min="3" max="4" width="14.5" style="34" customWidth="1"/>
    <col min="5" max="16384" width="9" style="34"/>
  </cols>
  <sheetData>
    <row r="1" spans="1:4" ht="20.25" x14ac:dyDescent="0.25">
      <c r="A1" s="43" t="s">
        <v>522</v>
      </c>
      <c r="B1" s="43"/>
      <c r="C1" s="43"/>
      <c r="D1" s="43"/>
    </row>
    <row r="2" spans="1:4" x14ac:dyDescent="0.25">
      <c r="A2" s="48" t="s">
        <v>523</v>
      </c>
      <c r="B2" s="48"/>
      <c r="C2" s="48"/>
      <c r="D2" s="48"/>
    </row>
    <row r="3" spans="1:4" x14ac:dyDescent="0.25">
      <c r="A3" s="36" t="s">
        <v>0</v>
      </c>
      <c r="B3" s="37" t="s">
        <v>521</v>
      </c>
      <c r="C3" s="37" t="s">
        <v>519</v>
      </c>
      <c r="D3" s="37" t="s">
        <v>520</v>
      </c>
    </row>
    <row r="4" spans="1:4" x14ac:dyDescent="0.25">
      <c r="A4" s="34" t="s">
        <v>30</v>
      </c>
      <c r="B4" s="38">
        <v>1288</v>
      </c>
      <c r="C4" s="35">
        <v>1693318</v>
      </c>
      <c r="D4" s="35">
        <v>1856000</v>
      </c>
    </row>
    <row r="5" spans="1:4" x14ac:dyDescent="0.25">
      <c r="A5" s="34" t="s">
        <v>29</v>
      </c>
      <c r="B5" s="38">
        <v>148</v>
      </c>
      <c r="C5" s="35">
        <v>442186</v>
      </c>
      <c r="D5" s="35">
        <v>586000</v>
      </c>
    </row>
    <row r="6" spans="1:4" x14ac:dyDescent="0.25">
      <c r="A6" s="34" t="s">
        <v>31</v>
      </c>
      <c r="B6" s="38">
        <v>517</v>
      </c>
      <c r="C6" s="35">
        <v>1765221</v>
      </c>
      <c r="D6" s="35">
        <v>1965000</v>
      </c>
    </row>
    <row r="7" spans="1:4" x14ac:dyDescent="0.25">
      <c r="A7" s="34" t="s">
        <v>32</v>
      </c>
      <c r="B7" s="38">
        <v>246</v>
      </c>
      <c r="C7" s="35">
        <v>553737</v>
      </c>
      <c r="D7" s="35">
        <v>625000</v>
      </c>
    </row>
    <row r="8" spans="1:4" x14ac:dyDescent="0.25">
      <c r="A8" s="34" t="s">
        <v>33</v>
      </c>
      <c r="B8" s="38">
        <v>98</v>
      </c>
      <c r="C8" s="35">
        <v>376702</v>
      </c>
      <c r="D8" s="35">
        <v>425000</v>
      </c>
    </row>
    <row r="9" spans="1:4" x14ac:dyDescent="0.25">
      <c r="A9" s="34" t="s">
        <v>34</v>
      </c>
      <c r="B9" s="38">
        <v>1024</v>
      </c>
      <c r="C9" s="35">
        <v>1534541</v>
      </c>
      <c r="D9" s="35">
        <v>1685000</v>
      </c>
    </row>
    <row r="10" spans="1:4" x14ac:dyDescent="0.25">
      <c r="A10" s="34" t="s">
        <v>35</v>
      </c>
      <c r="B10" s="38">
        <v>143</v>
      </c>
      <c r="C10" s="35">
        <v>512393</v>
      </c>
      <c r="D10" s="35">
        <v>725000</v>
      </c>
    </row>
    <row r="11" spans="1:4" x14ac:dyDescent="0.25">
      <c r="A11" s="34" t="s">
        <v>36</v>
      </c>
      <c r="B11" s="38">
        <v>625</v>
      </c>
      <c r="C11" s="35">
        <v>1376234</v>
      </c>
      <c r="D11" s="35">
        <v>1556000</v>
      </c>
    </row>
    <row r="12" spans="1:4" ht="16.5" x14ac:dyDescent="0.25">
      <c r="A12"/>
      <c r="B12"/>
    </row>
    <row r="13" spans="1:4" ht="16.5" x14ac:dyDescent="0.25">
      <c r="A13"/>
      <c r="B13"/>
    </row>
    <row r="14" spans="1:4" ht="16.5" x14ac:dyDescent="0.25">
      <c r="A14"/>
      <c r="B14"/>
    </row>
    <row r="15" spans="1:4" ht="16.5" x14ac:dyDescent="0.25">
      <c r="A15"/>
      <c r="B15"/>
    </row>
    <row r="16" spans="1:4" ht="16.5" x14ac:dyDescent="0.25">
      <c r="A16"/>
      <c r="B16"/>
    </row>
    <row r="17" spans="1:2" ht="16.5" x14ac:dyDescent="0.25">
      <c r="A17"/>
      <c r="B17"/>
    </row>
    <row r="18" spans="1:2" ht="16.5" x14ac:dyDescent="0.25">
      <c r="A18"/>
      <c r="B18"/>
    </row>
    <row r="19" spans="1:2" ht="16.5" x14ac:dyDescent="0.25">
      <c r="A19"/>
      <c r="B19"/>
    </row>
    <row r="20" spans="1:2" ht="16.5" x14ac:dyDescent="0.25">
      <c r="A20"/>
      <c r="B20"/>
    </row>
    <row r="21" spans="1:2" ht="16.5" x14ac:dyDescent="0.25">
      <c r="A21"/>
      <c r="B21"/>
    </row>
    <row r="22" spans="1:2" ht="16.5" x14ac:dyDescent="0.25">
      <c r="A22"/>
      <c r="B22"/>
    </row>
    <row r="23" spans="1:2" ht="16.5" x14ac:dyDescent="0.25">
      <c r="A23"/>
      <c r="B23"/>
    </row>
    <row r="24" spans="1:2" ht="16.5" x14ac:dyDescent="0.25">
      <c r="A24"/>
      <c r="B24"/>
    </row>
    <row r="25" spans="1:2" ht="16.5" x14ac:dyDescent="0.25">
      <c r="A25"/>
      <c r="B25"/>
    </row>
    <row r="26" spans="1:2" ht="16.5" x14ac:dyDescent="0.25">
      <c r="A26"/>
      <c r="B26"/>
    </row>
    <row r="27" spans="1:2" ht="16.5" x14ac:dyDescent="0.25">
      <c r="A27"/>
      <c r="B27"/>
    </row>
    <row r="28" spans="1:2" ht="16.5" x14ac:dyDescent="0.25">
      <c r="A28"/>
      <c r="B28"/>
    </row>
    <row r="29" spans="1:2" ht="16.5" x14ac:dyDescent="0.25">
      <c r="A29"/>
      <c r="B29"/>
    </row>
    <row r="30" spans="1:2" ht="16.5" x14ac:dyDescent="0.25">
      <c r="A30"/>
      <c r="B30"/>
    </row>
    <row r="31" spans="1:2" ht="16.5" x14ac:dyDescent="0.25">
      <c r="A31"/>
      <c r="B31"/>
    </row>
    <row r="32" spans="1:2" ht="16.5" x14ac:dyDescent="0.25">
      <c r="A32"/>
      <c r="B32"/>
    </row>
    <row r="33" spans="1:2" ht="16.5" x14ac:dyDescent="0.25">
      <c r="A33"/>
      <c r="B33"/>
    </row>
    <row r="34" spans="1:2" ht="16.5" x14ac:dyDescent="0.25">
      <c r="A34"/>
      <c r="B34"/>
    </row>
    <row r="35" spans="1:2" ht="16.5" x14ac:dyDescent="0.25">
      <c r="A35"/>
      <c r="B35"/>
    </row>
    <row r="36" spans="1:2" ht="16.5" x14ac:dyDescent="0.25">
      <c r="A36"/>
      <c r="B36"/>
    </row>
    <row r="37" spans="1:2" ht="16.5" x14ac:dyDescent="0.25">
      <c r="A37"/>
      <c r="B37"/>
    </row>
    <row r="38" spans="1:2" ht="16.5" x14ac:dyDescent="0.25">
      <c r="A38"/>
      <c r="B38"/>
    </row>
    <row r="39" spans="1:2" ht="16.5" x14ac:dyDescent="0.25">
      <c r="A39"/>
      <c r="B39"/>
    </row>
    <row r="40" spans="1:2" ht="16.5" x14ac:dyDescent="0.25">
      <c r="A40"/>
      <c r="B40"/>
    </row>
    <row r="41" spans="1:2" ht="16.5" x14ac:dyDescent="0.25">
      <c r="A41"/>
      <c r="B41"/>
    </row>
    <row r="42" spans="1:2" ht="16.5" x14ac:dyDescent="0.25">
      <c r="A42"/>
      <c r="B42"/>
    </row>
    <row r="43" spans="1:2" ht="16.5" x14ac:dyDescent="0.25">
      <c r="A43"/>
      <c r="B43"/>
    </row>
    <row r="44" spans="1:2" ht="16.5" x14ac:dyDescent="0.25">
      <c r="A44"/>
      <c r="B44"/>
    </row>
    <row r="45" spans="1:2" ht="16.5" x14ac:dyDescent="0.25">
      <c r="A45"/>
      <c r="B45"/>
    </row>
    <row r="46" spans="1:2" ht="16.5" x14ac:dyDescent="0.25">
      <c r="A46"/>
      <c r="B46"/>
    </row>
    <row r="47" spans="1:2" ht="16.5" x14ac:dyDescent="0.25">
      <c r="A47"/>
      <c r="B47"/>
    </row>
    <row r="48" spans="1:2" ht="16.5" x14ac:dyDescent="0.25">
      <c r="A48"/>
      <c r="B48"/>
    </row>
    <row r="49" spans="1:2" ht="16.5" x14ac:dyDescent="0.25">
      <c r="A49"/>
      <c r="B49"/>
    </row>
    <row r="50" spans="1:2" ht="16.5" x14ac:dyDescent="0.25">
      <c r="A50"/>
      <c r="B50"/>
    </row>
    <row r="51" spans="1:2" ht="16.5" x14ac:dyDescent="0.25">
      <c r="A51"/>
      <c r="B51"/>
    </row>
    <row r="52" spans="1:2" ht="16.5" x14ac:dyDescent="0.25">
      <c r="A52"/>
      <c r="B52"/>
    </row>
    <row r="53" spans="1:2" ht="16.5" x14ac:dyDescent="0.25">
      <c r="A53"/>
      <c r="B53"/>
    </row>
    <row r="54" spans="1:2" ht="16.5" x14ac:dyDescent="0.25">
      <c r="A54"/>
      <c r="B54"/>
    </row>
    <row r="55" spans="1:2" ht="16.5" x14ac:dyDescent="0.25">
      <c r="A55"/>
      <c r="B55"/>
    </row>
    <row r="56" spans="1:2" ht="16.5" x14ac:dyDescent="0.25">
      <c r="A56"/>
      <c r="B56"/>
    </row>
    <row r="57" spans="1:2" ht="16.5" x14ac:dyDescent="0.25">
      <c r="A57"/>
      <c r="B57"/>
    </row>
    <row r="58" spans="1:2" ht="16.5" x14ac:dyDescent="0.25">
      <c r="A58"/>
      <c r="B58"/>
    </row>
    <row r="59" spans="1:2" ht="16.5" x14ac:dyDescent="0.25">
      <c r="A59"/>
      <c r="B59"/>
    </row>
    <row r="60" spans="1:2" ht="16.5" x14ac:dyDescent="0.25">
      <c r="A60"/>
      <c r="B60"/>
    </row>
    <row r="61" spans="1:2" ht="16.5" x14ac:dyDescent="0.25">
      <c r="A61"/>
      <c r="B61"/>
    </row>
    <row r="62" spans="1:2" ht="16.5" x14ac:dyDescent="0.25">
      <c r="A62"/>
      <c r="B62"/>
    </row>
    <row r="63" spans="1:2" ht="16.5" x14ac:dyDescent="0.25">
      <c r="A63"/>
      <c r="B63"/>
    </row>
    <row r="64" spans="1:2" ht="16.5" x14ac:dyDescent="0.25">
      <c r="A64"/>
      <c r="B64"/>
    </row>
    <row r="65" spans="1:2" ht="16.5" x14ac:dyDescent="0.25">
      <c r="A65"/>
      <c r="B65"/>
    </row>
    <row r="66" spans="1:2" ht="16.5" x14ac:dyDescent="0.25">
      <c r="A66"/>
      <c r="B66"/>
    </row>
    <row r="67" spans="1:2" ht="16.5" x14ac:dyDescent="0.25">
      <c r="A67"/>
      <c r="B67"/>
    </row>
    <row r="68" spans="1:2" ht="16.5" x14ac:dyDescent="0.25">
      <c r="A68"/>
      <c r="B68"/>
    </row>
    <row r="69" spans="1:2" ht="16.5" x14ac:dyDescent="0.25">
      <c r="A69"/>
      <c r="B69"/>
    </row>
    <row r="70" spans="1:2" ht="16.5" x14ac:dyDescent="0.25">
      <c r="A70"/>
      <c r="B70"/>
    </row>
    <row r="71" spans="1:2" ht="16.5" x14ac:dyDescent="0.25">
      <c r="A71"/>
      <c r="B71"/>
    </row>
    <row r="72" spans="1:2" ht="16.5" x14ac:dyDescent="0.25">
      <c r="A72"/>
      <c r="B72"/>
    </row>
    <row r="73" spans="1:2" ht="16.5" x14ac:dyDescent="0.25">
      <c r="A73"/>
      <c r="B73"/>
    </row>
    <row r="74" spans="1:2" ht="16.5" x14ac:dyDescent="0.25">
      <c r="A74"/>
      <c r="B74"/>
    </row>
    <row r="75" spans="1:2" ht="16.5" x14ac:dyDescent="0.25">
      <c r="A75"/>
      <c r="B75"/>
    </row>
    <row r="76" spans="1:2" ht="16.5" x14ac:dyDescent="0.25">
      <c r="A76"/>
      <c r="B76"/>
    </row>
    <row r="77" spans="1:2" ht="16.5" x14ac:dyDescent="0.25">
      <c r="A77"/>
      <c r="B77"/>
    </row>
    <row r="78" spans="1:2" ht="16.5" x14ac:dyDescent="0.25">
      <c r="A78"/>
      <c r="B78"/>
    </row>
    <row r="79" spans="1:2" ht="16.5" x14ac:dyDescent="0.25">
      <c r="A79"/>
      <c r="B79"/>
    </row>
    <row r="80" spans="1:2" ht="16.5" x14ac:dyDescent="0.25">
      <c r="A80"/>
      <c r="B80"/>
    </row>
    <row r="81" spans="1:2" ht="16.5" x14ac:dyDescent="0.25">
      <c r="A81"/>
      <c r="B81"/>
    </row>
    <row r="82" spans="1:2" ht="16.5" x14ac:dyDescent="0.25">
      <c r="A82"/>
      <c r="B82"/>
    </row>
    <row r="83" spans="1:2" ht="16.5" x14ac:dyDescent="0.25">
      <c r="A83"/>
      <c r="B83"/>
    </row>
    <row r="84" spans="1:2" ht="16.5" x14ac:dyDescent="0.25">
      <c r="A84"/>
      <c r="B84"/>
    </row>
    <row r="85" spans="1:2" ht="16.5" x14ac:dyDescent="0.25">
      <c r="A85"/>
      <c r="B85"/>
    </row>
    <row r="86" spans="1:2" ht="16.5" x14ac:dyDescent="0.25">
      <c r="A86"/>
      <c r="B86"/>
    </row>
    <row r="87" spans="1:2" ht="16.5" x14ac:dyDescent="0.25">
      <c r="A87"/>
      <c r="B87"/>
    </row>
    <row r="88" spans="1:2" ht="16.5" x14ac:dyDescent="0.25">
      <c r="A88"/>
      <c r="B88"/>
    </row>
    <row r="89" spans="1:2" ht="16.5" x14ac:dyDescent="0.25">
      <c r="A89"/>
      <c r="B89"/>
    </row>
    <row r="90" spans="1:2" ht="16.5" x14ac:dyDescent="0.25">
      <c r="A90"/>
      <c r="B90"/>
    </row>
    <row r="91" spans="1:2" ht="16.5" x14ac:dyDescent="0.25">
      <c r="A91"/>
      <c r="B91"/>
    </row>
    <row r="92" spans="1:2" ht="16.5" x14ac:dyDescent="0.25">
      <c r="A92"/>
      <c r="B92"/>
    </row>
    <row r="93" spans="1:2" ht="16.5" x14ac:dyDescent="0.25">
      <c r="A93"/>
      <c r="B93"/>
    </row>
    <row r="94" spans="1:2" ht="16.5" x14ac:dyDescent="0.25">
      <c r="A94"/>
      <c r="B94"/>
    </row>
    <row r="95" spans="1:2" ht="16.5" x14ac:dyDescent="0.25">
      <c r="A95"/>
      <c r="B95"/>
    </row>
    <row r="96" spans="1:2" ht="16.5" x14ac:dyDescent="0.25">
      <c r="A96"/>
      <c r="B96"/>
    </row>
    <row r="97" spans="1:2" ht="16.5" x14ac:dyDescent="0.25">
      <c r="A97"/>
      <c r="B97"/>
    </row>
    <row r="98" spans="1:2" ht="16.5" x14ac:dyDescent="0.25">
      <c r="A98"/>
      <c r="B98"/>
    </row>
    <row r="99" spans="1:2" ht="16.5" x14ac:dyDescent="0.25">
      <c r="A99"/>
      <c r="B99"/>
    </row>
    <row r="100" spans="1:2" ht="16.5" x14ac:dyDescent="0.25">
      <c r="A100"/>
      <c r="B100"/>
    </row>
    <row r="101" spans="1:2" ht="16.5" x14ac:dyDescent="0.25">
      <c r="A101"/>
      <c r="B101"/>
    </row>
    <row r="102" spans="1:2" ht="16.5" x14ac:dyDescent="0.25">
      <c r="A102"/>
      <c r="B102"/>
    </row>
    <row r="103" spans="1:2" ht="16.5" x14ac:dyDescent="0.25">
      <c r="A103"/>
      <c r="B103"/>
    </row>
    <row r="104" spans="1:2" ht="16.5" x14ac:dyDescent="0.25">
      <c r="A104"/>
      <c r="B104"/>
    </row>
    <row r="105" spans="1:2" ht="16.5" x14ac:dyDescent="0.25">
      <c r="A105"/>
      <c r="B105"/>
    </row>
    <row r="106" spans="1:2" ht="16.5" x14ac:dyDescent="0.25">
      <c r="A106"/>
      <c r="B106"/>
    </row>
    <row r="107" spans="1:2" ht="16.5" x14ac:dyDescent="0.25">
      <c r="A107"/>
      <c r="B107"/>
    </row>
    <row r="108" spans="1:2" ht="16.5" x14ac:dyDescent="0.25">
      <c r="A108"/>
      <c r="B108"/>
    </row>
    <row r="109" spans="1:2" ht="16.5" x14ac:dyDescent="0.25">
      <c r="A109"/>
      <c r="B109"/>
    </row>
    <row r="110" spans="1:2" ht="16.5" x14ac:dyDescent="0.25">
      <c r="A110"/>
      <c r="B110"/>
    </row>
    <row r="111" spans="1:2" ht="16.5" x14ac:dyDescent="0.25">
      <c r="A111"/>
      <c r="B111"/>
    </row>
    <row r="112" spans="1:2" ht="16.5" x14ac:dyDescent="0.25">
      <c r="A112"/>
      <c r="B112"/>
    </row>
    <row r="113" spans="1:2" ht="16.5" x14ac:dyDescent="0.25">
      <c r="A113"/>
      <c r="B113"/>
    </row>
    <row r="114" spans="1:2" ht="16.5" x14ac:dyDescent="0.25">
      <c r="A114"/>
      <c r="B114"/>
    </row>
    <row r="115" spans="1:2" ht="16.5" x14ac:dyDescent="0.25">
      <c r="A115"/>
      <c r="B115"/>
    </row>
    <row r="116" spans="1:2" ht="16.5" x14ac:dyDescent="0.25">
      <c r="A116"/>
      <c r="B116"/>
    </row>
    <row r="117" spans="1:2" ht="16.5" x14ac:dyDescent="0.25">
      <c r="A117"/>
      <c r="B117"/>
    </row>
    <row r="118" spans="1:2" ht="16.5" x14ac:dyDescent="0.25">
      <c r="A118"/>
      <c r="B118"/>
    </row>
    <row r="119" spans="1:2" ht="16.5" x14ac:dyDescent="0.25">
      <c r="A119"/>
      <c r="B119"/>
    </row>
    <row r="120" spans="1:2" ht="16.5" x14ac:dyDescent="0.25">
      <c r="A120"/>
      <c r="B120"/>
    </row>
    <row r="121" spans="1:2" ht="16.5" x14ac:dyDescent="0.25">
      <c r="A121"/>
      <c r="B121"/>
    </row>
    <row r="122" spans="1:2" ht="16.5" x14ac:dyDescent="0.25">
      <c r="A122"/>
      <c r="B122"/>
    </row>
    <row r="123" spans="1:2" ht="16.5" x14ac:dyDescent="0.25">
      <c r="A123"/>
      <c r="B123"/>
    </row>
    <row r="124" spans="1:2" ht="16.5" x14ac:dyDescent="0.25">
      <c r="A124"/>
      <c r="B124"/>
    </row>
    <row r="125" spans="1:2" ht="16.5" x14ac:dyDescent="0.25">
      <c r="A125"/>
      <c r="B125"/>
    </row>
    <row r="126" spans="1:2" ht="16.5" x14ac:dyDescent="0.25">
      <c r="A126"/>
      <c r="B126"/>
    </row>
    <row r="127" spans="1:2" ht="16.5" x14ac:dyDescent="0.25">
      <c r="A127"/>
      <c r="B127"/>
    </row>
    <row r="128" spans="1:2" ht="16.5" x14ac:dyDescent="0.25">
      <c r="A128"/>
      <c r="B128"/>
    </row>
    <row r="129" spans="1:2" ht="16.5" x14ac:dyDescent="0.25">
      <c r="A129"/>
      <c r="B129"/>
    </row>
    <row r="130" spans="1:2" ht="16.5" x14ac:dyDescent="0.25">
      <c r="A130"/>
      <c r="B130"/>
    </row>
    <row r="131" spans="1:2" ht="16.5" x14ac:dyDescent="0.25">
      <c r="A131"/>
      <c r="B131"/>
    </row>
    <row r="132" spans="1:2" ht="16.5" x14ac:dyDescent="0.25">
      <c r="A132"/>
      <c r="B132"/>
    </row>
    <row r="133" spans="1:2" ht="16.5" x14ac:dyDescent="0.25">
      <c r="A133"/>
      <c r="B133"/>
    </row>
    <row r="134" spans="1:2" ht="16.5" x14ac:dyDescent="0.25">
      <c r="A134"/>
      <c r="B134"/>
    </row>
    <row r="135" spans="1:2" ht="16.5" x14ac:dyDescent="0.25">
      <c r="A135"/>
      <c r="B135"/>
    </row>
    <row r="136" spans="1:2" ht="16.5" x14ac:dyDescent="0.25">
      <c r="A136"/>
      <c r="B136"/>
    </row>
    <row r="137" spans="1:2" ht="16.5" x14ac:dyDescent="0.25">
      <c r="A137"/>
      <c r="B137"/>
    </row>
    <row r="138" spans="1:2" ht="16.5" x14ac:dyDescent="0.25">
      <c r="A138"/>
      <c r="B138"/>
    </row>
    <row r="139" spans="1:2" ht="16.5" x14ac:dyDescent="0.25">
      <c r="A139"/>
      <c r="B139"/>
    </row>
    <row r="140" spans="1:2" ht="16.5" x14ac:dyDescent="0.25">
      <c r="A140"/>
      <c r="B140"/>
    </row>
    <row r="141" spans="1:2" ht="16.5" x14ac:dyDescent="0.25">
      <c r="A141"/>
      <c r="B141"/>
    </row>
    <row r="142" spans="1:2" ht="16.5" x14ac:dyDescent="0.25">
      <c r="A142"/>
      <c r="B142"/>
    </row>
    <row r="143" spans="1:2" ht="16.5" x14ac:dyDescent="0.25">
      <c r="A143"/>
      <c r="B143"/>
    </row>
    <row r="144" spans="1:2" ht="16.5" x14ac:dyDescent="0.25">
      <c r="A144"/>
      <c r="B144"/>
    </row>
    <row r="145" spans="1:2" ht="16.5" x14ac:dyDescent="0.25">
      <c r="A145"/>
      <c r="B145"/>
    </row>
    <row r="146" spans="1:2" ht="16.5" x14ac:dyDescent="0.25">
      <c r="A146"/>
      <c r="B146"/>
    </row>
    <row r="147" spans="1:2" ht="16.5" x14ac:dyDescent="0.25">
      <c r="A147"/>
      <c r="B147"/>
    </row>
    <row r="148" spans="1:2" ht="16.5" x14ac:dyDescent="0.25">
      <c r="A148"/>
      <c r="B148"/>
    </row>
    <row r="149" spans="1:2" ht="16.5" x14ac:dyDescent="0.25">
      <c r="A149"/>
      <c r="B149"/>
    </row>
    <row r="150" spans="1:2" ht="16.5" x14ac:dyDescent="0.25">
      <c r="A150"/>
      <c r="B150"/>
    </row>
    <row r="151" spans="1:2" ht="16.5" x14ac:dyDescent="0.25">
      <c r="A151"/>
      <c r="B151"/>
    </row>
    <row r="152" spans="1:2" ht="16.5" x14ac:dyDescent="0.25">
      <c r="A152"/>
      <c r="B152"/>
    </row>
    <row r="153" spans="1:2" ht="16.5" x14ac:dyDescent="0.25">
      <c r="A153"/>
      <c r="B153"/>
    </row>
    <row r="154" spans="1:2" ht="16.5" x14ac:dyDescent="0.25">
      <c r="A154"/>
      <c r="B154"/>
    </row>
    <row r="155" spans="1:2" ht="16.5" x14ac:dyDescent="0.25">
      <c r="A155"/>
      <c r="B155"/>
    </row>
    <row r="156" spans="1:2" ht="16.5" x14ac:dyDescent="0.25">
      <c r="A156"/>
      <c r="B156"/>
    </row>
    <row r="157" spans="1:2" ht="16.5" x14ac:dyDescent="0.25">
      <c r="A157"/>
      <c r="B157"/>
    </row>
    <row r="158" spans="1:2" ht="16.5" x14ac:dyDescent="0.25">
      <c r="A158"/>
      <c r="B158"/>
    </row>
    <row r="159" spans="1:2" ht="16.5" x14ac:dyDescent="0.25">
      <c r="A159"/>
      <c r="B159"/>
    </row>
    <row r="160" spans="1:2" ht="16.5" x14ac:dyDescent="0.25">
      <c r="A160"/>
      <c r="B160"/>
    </row>
    <row r="161" spans="1:2" ht="16.5" x14ac:dyDescent="0.25">
      <c r="A161"/>
      <c r="B161"/>
    </row>
    <row r="162" spans="1:2" ht="16.5" x14ac:dyDescent="0.25">
      <c r="A162"/>
      <c r="B162"/>
    </row>
    <row r="163" spans="1:2" ht="16.5" x14ac:dyDescent="0.25">
      <c r="A163"/>
      <c r="B163"/>
    </row>
    <row r="164" spans="1:2" ht="16.5" x14ac:dyDescent="0.25">
      <c r="A164"/>
      <c r="B164"/>
    </row>
    <row r="165" spans="1:2" ht="16.5" x14ac:dyDescent="0.25">
      <c r="A165"/>
      <c r="B165"/>
    </row>
    <row r="166" spans="1:2" ht="16.5" x14ac:dyDescent="0.25">
      <c r="A166"/>
      <c r="B166"/>
    </row>
    <row r="167" spans="1:2" ht="16.5" x14ac:dyDescent="0.25">
      <c r="A167"/>
      <c r="B167"/>
    </row>
    <row r="168" spans="1:2" ht="16.5" x14ac:dyDescent="0.25">
      <c r="A168"/>
      <c r="B168"/>
    </row>
    <row r="169" spans="1:2" ht="16.5" x14ac:dyDescent="0.25">
      <c r="A169"/>
      <c r="B169"/>
    </row>
    <row r="170" spans="1:2" ht="16.5" x14ac:dyDescent="0.25">
      <c r="A170"/>
      <c r="B170"/>
    </row>
    <row r="171" spans="1:2" ht="16.5" x14ac:dyDescent="0.25">
      <c r="A171"/>
      <c r="B171"/>
    </row>
  </sheetData>
  <sortState xmlns:xlrd2="http://schemas.microsoft.com/office/spreadsheetml/2017/richdata2" ref="A5:A11">
    <sortCondition ref="A5:A11"/>
  </sortState>
  <mergeCells count="2">
    <mergeCell ref="A2:D2"/>
    <mergeCell ref="A1:D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25AA-3022-4839-8A83-A6B3FB0B5225}">
  <dimension ref="A1:D11"/>
  <sheetViews>
    <sheetView workbookViewId="0">
      <selection sqref="A1:D1"/>
    </sheetView>
  </sheetViews>
  <sheetFormatPr defaultRowHeight="16.5" customHeight="1" x14ac:dyDescent="0.25"/>
  <cols>
    <col min="1" max="1" width="9" style="29"/>
    <col min="2" max="2" width="10.25" style="29" customWidth="1"/>
    <col min="3" max="3" width="9" style="29"/>
    <col min="4" max="4" width="10.25" style="29" customWidth="1"/>
    <col min="5" max="16384" width="9" style="29"/>
  </cols>
  <sheetData>
    <row r="1" spans="1:4" ht="16.5" customHeight="1" x14ac:dyDescent="0.25">
      <c r="A1" s="43" t="s">
        <v>428</v>
      </c>
      <c r="B1" s="43"/>
      <c r="C1" s="43"/>
      <c r="D1" s="43"/>
    </row>
    <row r="2" spans="1:4" ht="16.5" customHeight="1" x14ac:dyDescent="0.25">
      <c r="A2" s="44" t="s">
        <v>517</v>
      </c>
      <c r="B2" s="44"/>
      <c r="C2" s="44"/>
      <c r="D2" s="44"/>
    </row>
    <row r="3" spans="1:4" ht="16.5" customHeight="1" x14ac:dyDescent="0.25">
      <c r="A3" s="32" t="s">
        <v>501</v>
      </c>
      <c r="B3" s="33" t="s">
        <v>513</v>
      </c>
      <c r="C3" s="33" t="s">
        <v>514</v>
      </c>
      <c r="D3" s="32" t="s">
        <v>516</v>
      </c>
    </row>
    <row r="4" spans="1:4" ht="16.5" customHeight="1" x14ac:dyDescent="0.25">
      <c r="A4" s="29" t="s">
        <v>507</v>
      </c>
      <c r="B4" s="29">
        <v>12</v>
      </c>
      <c r="C4" s="29">
        <v>72</v>
      </c>
      <c r="D4" s="29">
        <v>58</v>
      </c>
    </row>
    <row r="5" spans="1:4" ht="16.5" customHeight="1" x14ac:dyDescent="0.25">
      <c r="A5" s="29" t="s">
        <v>502</v>
      </c>
      <c r="B5" s="29">
        <v>19</v>
      </c>
      <c r="C5" s="29">
        <v>156</v>
      </c>
      <c r="D5" s="29">
        <v>142</v>
      </c>
    </row>
    <row r="6" spans="1:4" ht="16.5" customHeight="1" x14ac:dyDescent="0.25">
      <c r="A6" s="29" t="s">
        <v>505</v>
      </c>
      <c r="B6" s="29">
        <v>68</v>
      </c>
      <c r="C6" s="29">
        <v>507</v>
      </c>
      <c r="D6" s="29">
        <v>486</v>
      </c>
    </row>
    <row r="7" spans="1:4" ht="16.5" customHeight="1" x14ac:dyDescent="0.25">
      <c r="A7" s="29" t="s">
        <v>503</v>
      </c>
      <c r="B7" s="29">
        <v>149</v>
      </c>
      <c r="C7" s="29">
        <v>1095</v>
      </c>
      <c r="D7" s="29">
        <v>928</v>
      </c>
    </row>
    <row r="8" spans="1:4" ht="16.5" customHeight="1" x14ac:dyDescent="0.25">
      <c r="A8" s="29" t="s">
        <v>508</v>
      </c>
      <c r="B8" s="29">
        <v>20</v>
      </c>
      <c r="C8" s="29">
        <v>168</v>
      </c>
      <c r="D8" s="29">
        <v>133</v>
      </c>
    </row>
    <row r="9" spans="1:4" ht="16.5" customHeight="1" x14ac:dyDescent="0.25">
      <c r="A9" s="29" t="s">
        <v>504</v>
      </c>
      <c r="B9" s="29">
        <v>26</v>
      </c>
      <c r="C9" s="29">
        <v>183</v>
      </c>
      <c r="D9" s="29">
        <v>178</v>
      </c>
    </row>
    <row r="10" spans="1:4" ht="16.5" customHeight="1" x14ac:dyDescent="0.25">
      <c r="A10" s="29" t="s">
        <v>506</v>
      </c>
      <c r="B10" s="29">
        <v>12</v>
      </c>
      <c r="C10" s="29">
        <v>81</v>
      </c>
      <c r="D10" s="29">
        <v>58</v>
      </c>
    </row>
    <row r="11" spans="1:4" ht="16.5" customHeight="1" x14ac:dyDescent="0.25">
      <c r="A11" s="29" t="s">
        <v>17</v>
      </c>
      <c r="B11" s="29">
        <v>306</v>
      </c>
      <c r="C11" s="29">
        <v>2262</v>
      </c>
      <c r="D11" s="29">
        <v>1983</v>
      </c>
    </row>
  </sheetData>
  <mergeCells count="2">
    <mergeCell ref="A1:D1"/>
    <mergeCell ref="A2:D2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F54A-1C7B-4A70-901A-2842ACC3E5B3}">
  <dimension ref="A1:E268"/>
  <sheetViews>
    <sheetView workbookViewId="0">
      <selection activeCell="A2" sqref="A2:E2"/>
    </sheetView>
  </sheetViews>
  <sheetFormatPr defaultRowHeight="15" x14ac:dyDescent="0.25"/>
  <cols>
    <col min="1" max="1" width="9" style="29"/>
    <col min="2" max="2" width="10.25" style="29" customWidth="1"/>
    <col min="3" max="4" width="9.625" style="29" bestFit="1" customWidth="1"/>
    <col min="5" max="16384" width="9" style="29"/>
  </cols>
  <sheetData>
    <row r="1" spans="1:5" ht="21" x14ac:dyDescent="0.25">
      <c r="A1" s="49" t="s">
        <v>428</v>
      </c>
      <c r="B1" s="49"/>
      <c r="C1" s="49"/>
      <c r="D1" s="49"/>
      <c r="E1" s="49"/>
    </row>
    <row r="2" spans="1:5" ht="18.75" x14ac:dyDescent="0.25">
      <c r="A2" s="44" t="s">
        <v>515</v>
      </c>
      <c r="B2" s="44"/>
      <c r="C2" s="44"/>
      <c r="D2" s="44"/>
      <c r="E2" s="44"/>
    </row>
    <row r="3" spans="1:5" ht="16.5" customHeight="1" x14ac:dyDescent="0.25">
      <c r="A3" s="29" t="s">
        <v>0</v>
      </c>
      <c r="B3" s="31" t="s">
        <v>511</v>
      </c>
      <c r="C3" s="31" t="s">
        <v>510</v>
      </c>
      <c r="D3" s="31" t="s">
        <v>509</v>
      </c>
      <c r="E3" s="31" t="s">
        <v>512</v>
      </c>
    </row>
    <row r="4" spans="1:5" ht="16.5" customHeight="1" x14ac:dyDescent="0.25">
      <c r="A4" s="29" t="s">
        <v>29</v>
      </c>
      <c r="B4" s="29">
        <v>46</v>
      </c>
      <c r="C4" s="29">
        <v>287100</v>
      </c>
      <c r="D4" s="29">
        <v>483300</v>
      </c>
      <c r="E4" s="29">
        <v>187000</v>
      </c>
    </row>
    <row r="5" spans="1:5" ht="16.5" customHeight="1" x14ac:dyDescent="0.25">
      <c r="A5" s="29" t="s">
        <v>30</v>
      </c>
      <c r="B5" s="29">
        <v>31</v>
      </c>
      <c r="C5" s="29">
        <v>149400</v>
      </c>
      <c r="D5" s="29">
        <v>207600</v>
      </c>
      <c r="E5" s="29">
        <v>52000</v>
      </c>
    </row>
    <row r="6" spans="1:5" ht="16.5" customHeight="1" x14ac:dyDescent="0.25">
      <c r="A6" s="29" t="s">
        <v>31</v>
      </c>
      <c r="B6" s="29">
        <v>35</v>
      </c>
      <c r="C6" s="29">
        <v>240300</v>
      </c>
      <c r="D6" s="29">
        <v>465870</v>
      </c>
      <c r="E6" s="29">
        <v>218570</v>
      </c>
    </row>
    <row r="7" spans="1:5" ht="16.5" customHeight="1" x14ac:dyDescent="0.25">
      <c r="A7" s="29" t="s">
        <v>32</v>
      </c>
      <c r="B7" s="29">
        <v>54</v>
      </c>
      <c r="C7" s="29">
        <v>271200</v>
      </c>
      <c r="D7" s="29">
        <v>501300</v>
      </c>
      <c r="E7" s="29">
        <v>219300</v>
      </c>
    </row>
    <row r="8" spans="1:5" ht="16.5" customHeight="1" x14ac:dyDescent="0.25">
      <c r="A8" s="29" t="s">
        <v>33</v>
      </c>
      <c r="B8" s="29">
        <v>20</v>
      </c>
      <c r="C8" s="29">
        <v>192000</v>
      </c>
      <c r="D8" s="29">
        <v>508800</v>
      </c>
      <c r="E8" s="29">
        <v>312800</v>
      </c>
    </row>
    <row r="9" spans="1:5" ht="16.5" customHeight="1" x14ac:dyDescent="0.25">
      <c r="A9" s="29" t="s">
        <v>34</v>
      </c>
      <c r="B9" s="29">
        <v>45</v>
      </c>
      <c r="C9" s="29">
        <v>249000</v>
      </c>
      <c r="D9" s="29">
        <v>366000</v>
      </c>
      <c r="E9" s="29">
        <v>108000</v>
      </c>
    </row>
    <row r="10" spans="1:5" ht="16.5" customHeight="1" x14ac:dyDescent="0.25">
      <c r="A10" s="29" t="s">
        <v>35</v>
      </c>
      <c r="B10" s="29">
        <v>39</v>
      </c>
      <c r="C10" s="29">
        <v>356400</v>
      </c>
      <c r="D10" s="29">
        <v>915600</v>
      </c>
      <c r="E10" s="29">
        <v>551400</v>
      </c>
    </row>
    <row r="11" spans="1:5" ht="16.5" customHeight="1" x14ac:dyDescent="0.25">
      <c r="A11" s="29" t="s">
        <v>36</v>
      </c>
      <c r="B11" s="29">
        <v>36</v>
      </c>
      <c r="C11" s="29">
        <v>199200</v>
      </c>
      <c r="D11" s="29">
        <v>449760</v>
      </c>
      <c r="E11" s="29">
        <v>243360</v>
      </c>
    </row>
    <row r="12" spans="1:5" ht="16.5" customHeight="1" x14ac:dyDescent="0.25"/>
    <row r="13" spans="1:5" ht="16.5" customHeight="1" x14ac:dyDescent="0.25"/>
    <row r="14" spans="1:5" ht="16.5" customHeight="1" x14ac:dyDescent="0.25"/>
    <row r="15" spans="1:5" ht="16.5" customHeight="1" x14ac:dyDescent="0.25"/>
    <row r="16" spans="1:5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</sheetData>
  <mergeCells count="2">
    <mergeCell ref="A2:E2"/>
    <mergeCell ref="A1:E1"/>
  </mergeCells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���{W�{W�NNǌ�e�v=~�T: 1XT�Nxe�NNǌ�e�v=~�T: 1XT�NxelQ_�NNǌ�e�v=~�T: 1XT�Nxe<P�NNǌ�e�v=~�T: �e}��Nxe�NNǌ�e�v=~�T: �e}��NxelQ_�NNǌ�e�v=~�T: �e}��Nxe<P�^_��egfg
N��Bf����z�}_���zYe�}Ye�[1XT�Nxe�e}��Nxe
N��Bf�� (\Bf�NNǌ�e�v=~�T: 1XT�Nxe1XT�Nxe�NNǌ�e�v=~�T: 1XT�Nxe1XT�Nxe�NNǌ�e�v=~�T: 1XT�Nxe1XT�Nxe�NNǌ�e�v=~�T: �e}��Nxe�e}��Nxe�NNǌ�e�v=~�T: �e}��Nxe�e}��Nxe�NNǌ�e�v=~�T: �e}��Nxe�e}��Nxe�NNǌ�e�v=~�T: 1XT�Nxe�NNǌ�e�v=~�T: 1XT�NxelQ_�NNǌ�e�v=~�T: 1XT�Nxe<P�NNǌ�e�v=~�T: �e}��Nxe�NNǌ�e�v=~�T: �e}��NxelQ_�NNǌ�e�v=~�T: �e}��Nxe<P�^_��egfg
N��Bf����z�}_���zYe�}Ye�[1XT�Nxe�e}��Nxe
N��Bf�� (\Bf�NNǌ�e�v=~�T: 1XT�Nxe1XT�Nxe�NNǌ�e�v=~�T: 1XT�Nxe1XT�Nxe�NNǌ�e�v=~�T: 1XT�Nxe1XT�Nxe�NNǌ�e�v=~�T: �e}��Nxe�e}��Nxe�NNǌ�e�v=~�T: �e}��Nxe�e}��Nxe�NNǌ�e�v=~�T: �e}��Nxe�e}��Nxe
</file>

<file path=customXml/item3.xml>���{W
</file>

<file path=customXml/item4.xml>��
</file>

<file path=customXml/item5.xml>���{W�^_��egfg
N��Bf����z�}_���zYe�}Ye�[1XT�Nxe�e}��Nxe
N��Bf�� (\Bf�^_��egfg
N��Bf����z�}_���zYe�}Ye�[1XT�Nxe�e}��Nxe
N��Bf�� (\Bf
</file>

<file path=customXml/item6.xml>��
</file>

<file path=customXml/item7.xml>��
</file>

<file path=customXml/item8.xml>��
</file>

<file path=customXml/item9.xml>��
</file>

<file path=customXml/item10.xml>���{W
</file>

<file path=customXml/item11.xml>��
</file>

<file path=customXml/item12.xml>���{W
</file>

<file path=customXml/item13.xml>��
</file>

<file path=customXml/item14.xml>��
</file>

<file path=customXml/item15.xml>��
</file>

<file path=customXml/item16.xml>���{W�{W�^_��egfg
N��Bf����z�}_���zYe�}Ye�[1XT�Nxe�e}��Nxe
N��Bf�� (\Bf
</file>

<file path=customXml/item17.xml>��h�<hh�<h
</file>

<file path=customXml/item18.xml>��
</file>

<file path=customXml/itemProps1.xml><?xml version="1.0" encoding="utf-8"?>
<ds:datastoreItem xmlns:ds="http://schemas.openxmlformats.org/officeDocument/2006/customXml" ds:itemID="{EFD6BB9F-F0F9-4303-A7D5-E40B2DA33057}">
  <ds:schemaRefs/>
</ds:datastoreItem>
</file>

<file path=customXml/itemProps2.xml><?xml version="1.0" encoding="utf-8"?>
<ds:datastoreItem xmlns:ds="http://schemas.openxmlformats.org/officeDocument/2006/customXml" ds:itemID="{A6680D99-F982-4FEE-81ED-755136ECFBA0}">
  <ds:schemaRefs/>
</ds:datastoreItem>
</file>

<file path=customXml/itemProps3.xml><?xml version="1.0" encoding="utf-8"?>
<ds:datastoreItem xmlns:ds="http://schemas.openxmlformats.org/officeDocument/2006/customXml" ds:itemID="{CA4BB22C-3467-4CE7-99E7-67FF0CDE459B}">
  <ds:schemaRefs/>
</ds:datastoreItem>
</file>

<file path=customXml/itemProps4.xml><?xml version="1.0" encoding="utf-8"?>
<ds:datastoreItem xmlns:ds="http://schemas.openxmlformats.org/officeDocument/2006/customXml" ds:itemID="{68C9675F-6BA1-475D-A99B-2A6E4223715E}">
  <ds:schemaRefs/>
</ds:datastoreItem>
</file>

<file path=customXml/itemProps5.xml><?xml version="1.0" encoding="utf-8"?>
<ds:datastoreItem xmlns:ds="http://schemas.openxmlformats.org/officeDocument/2006/customXml" ds:itemID="{022AB890-187F-4796-86C2-8D5658098708}">
  <ds:schemaRefs/>
</ds:datastoreItem>
</file>

<file path=customXml/itemProps6.xml><?xml version="1.0" encoding="utf-8"?>
<ds:datastoreItem xmlns:ds="http://schemas.openxmlformats.org/officeDocument/2006/customXml" ds:itemID="{BEAB75A7-77FE-4A6B-B61B-1850BE88DAFC}">
  <ds:schemaRefs/>
</ds:datastoreItem>
</file>

<file path=customXml/itemProps7.xml><?xml version="1.0" encoding="utf-8"?>
<ds:datastoreItem xmlns:ds="http://schemas.openxmlformats.org/officeDocument/2006/customXml" ds:itemID="{2F76207F-8EAE-4096-8590-08755929ACD4}">
  <ds:schemaRefs/>
</ds:datastoreItem>
</file>

<file path=customXml/itemProps8.xml><?xml version="1.0" encoding="utf-8"?>
<ds:datastoreItem xmlns:ds="http://schemas.openxmlformats.org/officeDocument/2006/customXml" ds:itemID="{03E94DF7-3BDF-4F89-8D3A-E755D81DBBDF}">
  <ds:schemaRefs/>
</ds:datastoreItem>
</file>

<file path=customXml/itemProps9.xml><?xml version="1.0" encoding="utf-8"?>
<ds:datastoreItem xmlns:ds="http://schemas.openxmlformats.org/officeDocument/2006/customXml" ds:itemID="{55ECC666-200B-4306-B696-E7D4E642292F}">
  <ds:schemaRefs/>
</ds:datastoreItem>
</file>

<file path=customXml/itemProps10.xml><?xml version="1.0" encoding="utf-8"?>
<ds:datastoreItem xmlns:ds="http://schemas.openxmlformats.org/officeDocument/2006/customXml" ds:itemID="{02A9ECB6-EB51-4A72-9E34-AFAEEA4612C9}">
  <ds:schemaRefs/>
</ds:datastoreItem>
</file>

<file path=customXml/itemProps11.xml><?xml version="1.0" encoding="utf-8"?>
<ds:datastoreItem xmlns:ds="http://schemas.openxmlformats.org/officeDocument/2006/customXml" ds:itemID="{5B4E9285-2E15-4D02-93F9-EA00ECA08FBD}">
  <ds:schemaRefs/>
</ds:datastoreItem>
</file>

<file path=customXml/itemProps12.xml><?xml version="1.0" encoding="utf-8"?>
<ds:datastoreItem xmlns:ds="http://schemas.openxmlformats.org/officeDocument/2006/customXml" ds:itemID="{AD6352B6-2304-45A9-A3D4-B525D5B3340A}">
  <ds:schemaRefs/>
</ds:datastoreItem>
</file>

<file path=customXml/itemProps13.xml><?xml version="1.0" encoding="utf-8"?>
<ds:datastoreItem xmlns:ds="http://schemas.openxmlformats.org/officeDocument/2006/customXml" ds:itemID="{B814F072-29D8-4ECF-90D2-791075F242C1}">
  <ds:schemaRefs/>
</ds:datastoreItem>
</file>

<file path=customXml/itemProps14.xml><?xml version="1.0" encoding="utf-8"?>
<ds:datastoreItem xmlns:ds="http://schemas.openxmlformats.org/officeDocument/2006/customXml" ds:itemID="{5374141D-DDBC-4925-9AB6-BCA943936FC0}">
  <ds:schemaRefs/>
</ds:datastoreItem>
</file>

<file path=customXml/itemProps15.xml><?xml version="1.0" encoding="utf-8"?>
<ds:datastoreItem xmlns:ds="http://schemas.openxmlformats.org/officeDocument/2006/customXml" ds:itemID="{17A7A820-9BF4-48B8-A8CF-869C740163DD}">
  <ds:schemaRefs/>
</ds:datastoreItem>
</file>

<file path=customXml/itemProps16.xml><?xml version="1.0" encoding="utf-8"?>
<ds:datastoreItem xmlns:ds="http://schemas.openxmlformats.org/officeDocument/2006/customXml" ds:itemID="{569EC86D-AC1F-4B18-A27E-000A83031D48}">
  <ds:schemaRefs/>
</ds:datastoreItem>
</file>

<file path=customXml/itemProps17.xml><?xml version="1.0" encoding="utf-8"?>
<ds:datastoreItem xmlns:ds="http://schemas.openxmlformats.org/officeDocument/2006/customXml" ds:itemID="{C5179452-FC74-4E0F-9D7C-682AE0AE3A36}">
  <ds:schemaRefs/>
</ds:datastoreItem>
</file>

<file path=customXml/itemProps18.xml><?xml version="1.0" encoding="utf-8"?>
<ds:datastoreItem xmlns:ds="http://schemas.openxmlformats.org/officeDocument/2006/customXml" ds:itemID="{3369F346-2865-4B4F-9B66-BA9BB95F71A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1</vt:i4>
      </vt:variant>
    </vt:vector>
  </HeadingPairs>
  <TitlesOfParts>
    <vt:vector size="8" baseType="lpstr">
      <vt:lpstr>北區教室</vt:lpstr>
      <vt:lpstr>南區教室</vt:lpstr>
      <vt:lpstr>講師</vt:lpstr>
      <vt:lpstr>開幕活動</vt:lpstr>
      <vt:lpstr>營收目標</vt:lpstr>
      <vt:lpstr>學員完課統計</vt:lpstr>
      <vt:lpstr>三月份收支</vt:lpstr>
      <vt:lpstr>南區開課名單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王仲麒</dc:creator>
  <cp:lastModifiedBy>王仲麒</cp:lastModifiedBy>
  <dcterms:created xsi:type="dcterms:W3CDTF">2016-12-17T07:16:43Z</dcterms:created>
  <dcterms:modified xsi:type="dcterms:W3CDTF">2021-06-11T01:52:23Z</dcterms:modified>
</cp:coreProperties>
</file>