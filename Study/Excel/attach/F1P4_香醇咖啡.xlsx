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BOOK\Excel2019Expert\題目設計\處理中\"/>
    </mc:Choice>
  </mc:AlternateContent>
  <xr:revisionPtr revIDLastSave="0" documentId="13_ncr:1_{4DE8757E-94A6-422E-A1E4-CEB7CD2A3AF3}" xr6:coauthVersionLast="46" xr6:coauthVersionMax="46" xr10:uidLastSave="{00000000-0000-0000-0000-000000000000}"/>
  <bookViews>
    <workbookView xWindow="690" yWindow="705" windowWidth="24330" windowHeight="10620" xr2:uid="{00000000-000D-0000-FFFF-FFFF00000000}"/>
  </bookViews>
  <sheets>
    <sheet name="三年各季業績" sheetId="8" r:id="rId1"/>
    <sheet name="烘焙機貸款分析" sheetId="16" r:id="rId2"/>
    <sheet name="銷售統計" sheetId="7" r:id="rId3"/>
    <sheet name="第一季營業額" sheetId="12" r:id="rId4"/>
    <sheet name="銷售分析" sheetId="13" r:id="rId5"/>
    <sheet name="咖啡銷售量" sheetId="11" r:id="rId6"/>
  </sheets>
  <definedNames>
    <definedName name="_xlnm._FilterDatabase" localSheetId="2" hidden="1">銷售統計!$A$3:$M$123</definedName>
    <definedName name="三年各季業績">三年各季業績!$A$3:$N$67</definedName>
    <definedName name="年利率" localSheetId="1">烘焙機貸款分析!$B$7</definedName>
    <definedName name="每年支付期數" localSheetId="1">烘焙機貸款分析!$B$9</definedName>
    <definedName name="每期支付本利" localSheetId="1">烘焙機貸款分析!$B$8</definedName>
    <definedName name="每期償付本利" localSheetId="1">烘焙機貸款分析!$B$11</definedName>
    <definedName name="設備售價">烘焙機貸款分析!$B$4</definedName>
    <definedName name="期滿共繳本利" localSheetId="1">烘焙機貸款分析!#REF!</definedName>
    <definedName name="貸款成數">烘焙機貸款分析!$B$5</definedName>
    <definedName name="貸款金額" localSheetId="1">烘焙機貸款分析!$B$6</definedName>
    <definedName name="機型">烘焙機貸款分析!$B$3</definedName>
  </definedNames>
  <calcPr calcId="191029" calcMode="manual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6" l="1"/>
  <c r="B6" i="16" s="1"/>
  <c r="P18" i="7" l="1"/>
  <c r="Q18" i="7"/>
  <c r="Q19" i="7"/>
  <c r="Q20" i="7"/>
  <c r="P19" i="7"/>
  <c r="P20" i="7"/>
  <c r="R20" i="7"/>
  <c r="R19" i="7"/>
  <c r="R18" i="7"/>
  <c r="R12" i="7"/>
  <c r="R13" i="7"/>
  <c r="R11" i="7"/>
  <c r="P12" i="7"/>
  <c r="P13" i="7"/>
  <c r="Q12" i="7"/>
  <c r="Q13" i="7"/>
  <c r="Q11" i="7"/>
  <c r="P11" i="7"/>
  <c r="K51" i="7"/>
  <c r="H51" i="7"/>
  <c r="K53" i="7"/>
  <c r="H53" i="7"/>
  <c r="K34" i="7"/>
  <c r="H34" i="7"/>
  <c r="K47" i="7"/>
  <c r="H47" i="7"/>
  <c r="K46" i="7"/>
  <c r="H46" i="7"/>
  <c r="K14" i="7"/>
  <c r="H14" i="7"/>
  <c r="K71" i="7"/>
  <c r="H71" i="7"/>
  <c r="K8" i="7"/>
  <c r="H8" i="7"/>
  <c r="K55" i="7"/>
  <c r="H55" i="7"/>
  <c r="K117" i="7"/>
  <c r="H117" i="7"/>
  <c r="K91" i="7"/>
  <c r="H91" i="7"/>
  <c r="K29" i="7"/>
  <c r="H29" i="7"/>
  <c r="K15" i="7"/>
  <c r="H15" i="7"/>
  <c r="K39" i="7"/>
  <c r="H39" i="7"/>
  <c r="K66" i="7"/>
  <c r="H66" i="7"/>
  <c r="K25" i="7"/>
  <c r="H25" i="7"/>
  <c r="K19" i="7"/>
  <c r="H19" i="7"/>
  <c r="K64" i="7"/>
  <c r="H64" i="7"/>
  <c r="K5" i="7"/>
  <c r="H5" i="7"/>
  <c r="K40" i="7"/>
  <c r="H40" i="7"/>
  <c r="K79" i="7"/>
  <c r="H79" i="7"/>
  <c r="K58" i="7"/>
  <c r="H58" i="7"/>
  <c r="K60" i="7"/>
  <c r="H60" i="7"/>
  <c r="K22" i="7"/>
  <c r="H22" i="7"/>
  <c r="K70" i="7"/>
  <c r="H70" i="7"/>
  <c r="K113" i="7"/>
  <c r="H113" i="7"/>
  <c r="K12" i="7"/>
  <c r="H12" i="7"/>
  <c r="K100" i="7"/>
  <c r="H100" i="7"/>
  <c r="K110" i="7"/>
  <c r="H110" i="7"/>
  <c r="K119" i="7"/>
  <c r="H119" i="7"/>
  <c r="K118" i="7"/>
  <c r="H118" i="7"/>
  <c r="K9" i="7"/>
  <c r="H9" i="7"/>
  <c r="K108" i="7"/>
  <c r="H108" i="7"/>
  <c r="K83" i="7"/>
  <c r="H83" i="7"/>
  <c r="K84" i="7"/>
  <c r="H84" i="7"/>
  <c r="K24" i="7"/>
  <c r="H24" i="7"/>
  <c r="K28" i="7"/>
  <c r="H28" i="7"/>
  <c r="K16" i="7"/>
  <c r="H16" i="7"/>
  <c r="K37" i="7"/>
  <c r="H37" i="7"/>
  <c r="K80" i="7"/>
  <c r="H80" i="7"/>
  <c r="K45" i="7"/>
  <c r="H45" i="7"/>
  <c r="K74" i="7"/>
  <c r="H74" i="7"/>
  <c r="K69" i="7"/>
  <c r="H69" i="7"/>
  <c r="K78" i="7"/>
  <c r="H78" i="7"/>
  <c r="K67" i="7"/>
  <c r="H67" i="7"/>
  <c r="K62" i="7"/>
  <c r="H62" i="7"/>
  <c r="K52" i="7"/>
  <c r="H52" i="7"/>
  <c r="K31" i="7"/>
  <c r="H31" i="7"/>
  <c r="K41" i="7"/>
  <c r="H41" i="7"/>
  <c r="K96" i="7"/>
  <c r="H96" i="7"/>
  <c r="K42" i="7"/>
  <c r="H42" i="7"/>
  <c r="K48" i="7"/>
  <c r="H48" i="7"/>
  <c r="K59" i="7"/>
  <c r="H59" i="7"/>
  <c r="K6" i="7"/>
  <c r="H6" i="7"/>
  <c r="K50" i="7"/>
  <c r="H50" i="7"/>
  <c r="K63" i="7"/>
  <c r="H63" i="7"/>
  <c r="K75" i="7"/>
  <c r="H75" i="7"/>
  <c r="K72" i="7"/>
  <c r="H72" i="7"/>
  <c r="K123" i="7"/>
  <c r="H123" i="7"/>
  <c r="K11" i="7"/>
  <c r="H11" i="7"/>
  <c r="K27" i="7"/>
  <c r="H27" i="7"/>
  <c r="K122" i="7"/>
  <c r="H122" i="7"/>
  <c r="K73" i="7"/>
  <c r="H73" i="7"/>
  <c r="K43" i="7"/>
  <c r="H43" i="7"/>
  <c r="K85" i="7"/>
  <c r="H85" i="7"/>
  <c r="K99" i="7"/>
  <c r="H99" i="7"/>
  <c r="K107" i="7"/>
  <c r="H107" i="7"/>
  <c r="K49" i="7"/>
  <c r="H49" i="7"/>
  <c r="K94" i="7"/>
  <c r="H94" i="7"/>
  <c r="K17" i="7"/>
  <c r="H17" i="7"/>
  <c r="K111" i="7"/>
  <c r="H111" i="7"/>
  <c r="K81" i="7"/>
  <c r="H81" i="7"/>
  <c r="K95" i="7"/>
  <c r="H95" i="7"/>
  <c r="K68" i="7"/>
  <c r="H68" i="7"/>
  <c r="K104" i="7"/>
  <c r="H104" i="7"/>
  <c r="K56" i="7"/>
  <c r="H56" i="7"/>
  <c r="K112" i="7"/>
  <c r="H112" i="7"/>
  <c r="K76" i="7"/>
  <c r="H76" i="7"/>
  <c r="K106" i="7"/>
  <c r="H106" i="7"/>
  <c r="K13" i="7"/>
  <c r="H13" i="7"/>
  <c r="K54" i="7"/>
  <c r="H54" i="7"/>
  <c r="K77" i="7"/>
  <c r="H77" i="7"/>
  <c r="K102" i="7"/>
  <c r="H102" i="7"/>
  <c r="K114" i="7"/>
  <c r="H114" i="7"/>
  <c r="K98" i="7"/>
  <c r="H98" i="7"/>
  <c r="K101" i="7"/>
  <c r="H101" i="7"/>
  <c r="K10" i="7"/>
  <c r="H10" i="7"/>
  <c r="K26" i="7"/>
  <c r="H26" i="7"/>
  <c r="K61" i="7"/>
  <c r="H61" i="7"/>
  <c r="K90" i="7"/>
  <c r="H90" i="7"/>
  <c r="K82" i="7"/>
  <c r="H82" i="7"/>
  <c r="K30" i="7"/>
  <c r="H30" i="7"/>
  <c r="K7" i="7"/>
  <c r="H7" i="7"/>
  <c r="K65" i="7"/>
  <c r="H65" i="7"/>
  <c r="K38" i="7"/>
  <c r="H38" i="7"/>
  <c r="K18" i="7"/>
  <c r="H18" i="7"/>
  <c r="K97" i="7"/>
  <c r="H97" i="7"/>
  <c r="K23" i="7"/>
  <c r="H23" i="7"/>
  <c r="K32" i="7"/>
  <c r="H32" i="7"/>
  <c r="K35" i="7"/>
  <c r="H35" i="7"/>
  <c r="K4" i="7"/>
  <c r="H4" i="7"/>
  <c r="K92" i="7"/>
  <c r="H92" i="7"/>
  <c r="K115" i="7"/>
  <c r="H115" i="7"/>
  <c r="K36" i="7"/>
  <c r="H36" i="7"/>
  <c r="K103" i="7"/>
  <c r="H103" i="7"/>
  <c r="L77" i="7" l="1"/>
  <c r="L39" i="7"/>
  <c r="L14" i="7"/>
  <c r="L35" i="7"/>
  <c r="L103" i="7"/>
  <c r="L7" i="7"/>
  <c r="L54" i="7"/>
  <c r="L112" i="7"/>
  <c r="L95" i="7"/>
  <c r="L115" i="7"/>
  <c r="L106" i="7"/>
  <c r="L104" i="7"/>
  <c r="L73" i="7"/>
  <c r="L50" i="7"/>
  <c r="L52" i="7"/>
  <c r="L69" i="7"/>
  <c r="L38" i="7"/>
  <c r="L82" i="7"/>
  <c r="L99" i="7"/>
  <c r="L85" i="7"/>
  <c r="L27" i="7"/>
  <c r="L75" i="7"/>
  <c r="L59" i="7"/>
  <c r="L41" i="7"/>
  <c r="L67" i="7"/>
  <c r="L70" i="7"/>
  <c r="L19" i="7"/>
  <c r="L55" i="7"/>
  <c r="L58" i="7"/>
  <c r="L110" i="7"/>
  <c r="L30" i="7"/>
  <c r="L56" i="7"/>
  <c r="L11" i="7"/>
  <c r="L63" i="7"/>
  <c r="L48" i="7"/>
  <c r="L31" i="7"/>
  <c r="L78" i="7"/>
  <c r="L9" i="7"/>
  <c r="L100" i="7"/>
  <c r="L22" i="7"/>
  <c r="L84" i="7"/>
  <c r="L64" i="7"/>
  <c r="L79" i="7"/>
  <c r="L90" i="7"/>
  <c r="L76" i="7"/>
  <c r="L122" i="7"/>
  <c r="L72" i="7"/>
  <c r="L6" i="7"/>
  <c r="L96" i="7"/>
  <c r="L62" i="7"/>
  <c r="L5" i="7"/>
  <c r="L8" i="7"/>
  <c r="L68" i="7"/>
  <c r="L74" i="7"/>
  <c r="L16" i="7"/>
  <c r="L119" i="7"/>
  <c r="L113" i="7"/>
  <c r="L91" i="7"/>
  <c r="L71" i="7"/>
  <c r="L65" i="7"/>
  <c r="L12" i="7"/>
  <c r="L18" i="7"/>
  <c r="L26" i="7"/>
  <c r="L81" i="7"/>
  <c r="L45" i="7"/>
  <c r="L108" i="7"/>
  <c r="L117" i="7"/>
  <c r="L37" i="7"/>
  <c r="L25" i="7"/>
  <c r="L36" i="7"/>
  <c r="L24" i="7"/>
  <c r="L15" i="7"/>
  <c r="L29" i="7"/>
  <c r="L123" i="7"/>
  <c r="L42" i="7"/>
  <c r="L51" i="7"/>
  <c r="L4" i="7"/>
  <c r="L97" i="7"/>
  <c r="L101" i="7"/>
  <c r="L111" i="7"/>
  <c r="L107" i="7"/>
  <c r="L118" i="7"/>
  <c r="L47" i="7"/>
  <c r="L61" i="7"/>
  <c r="L98" i="7"/>
  <c r="L17" i="7"/>
  <c r="L83" i="7"/>
  <c r="L40" i="7"/>
  <c r="L34" i="7"/>
  <c r="L28" i="7"/>
  <c r="L60" i="7"/>
  <c r="L32" i="7"/>
  <c r="L114" i="7"/>
  <c r="L13" i="7"/>
  <c r="L94" i="7"/>
  <c r="L53" i="7"/>
  <c r="L80" i="7"/>
  <c r="L46" i="7"/>
  <c r="L92" i="7"/>
  <c r="L23" i="7"/>
  <c r="L10" i="7"/>
  <c r="L102" i="7"/>
  <c r="L49" i="7"/>
  <c r="L43" i="7"/>
  <c r="L66" i="7"/>
  <c r="K21" i="7"/>
  <c r="H21" i="7"/>
  <c r="K87" i="7"/>
  <c r="H87" i="7"/>
  <c r="K105" i="7"/>
  <c r="H105" i="7"/>
  <c r="K57" i="7"/>
  <c r="H57" i="7"/>
  <c r="K93" i="7"/>
  <c r="H93" i="7"/>
  <c r="K120" i="7"/>
  <c r="H120" i="7"/>
  <c r="K86" i="7"/>
  <c r="H86" i="7"/>
  <c r="K88" i="7"/>
  <c r="H88" i="7"/>
  <c r="K33" i="7"/>
  <c r="H33" i="7"/>
  <c r="K20" i="7"/>
  <c r="H20" i="7"/>
  <c r="K109" i="7"/>
  <c r="H109" i="7"/>
  <c r="K89" i="7"/>
  <c r="H89" i="7"/>
  <c r="K116" i="7"/>
  <c r="H116" i="7"/>
  <c r="K121" i="7"/>
  <c r="H121" i="7"/>
  <c r="K44" i="7"/>
  <c r="H44" i="7"/>
  <c r="L44" i="7" l="1"/>
  <c r="L116" i="7"/>
  <c r="L89" i="7"/>
  <c r="L88" i="7"/>
  <c r="L105" i="7"/>
  <c r="L121" i="7"/>
  <c r="L120" i="7"/>
  <c r="L21" i="7"/>
  <c r="L57" i="7"/>
  <c r="L109" i="7"/>
  <c r="L86" i="7"/>
  <c r="L20" i="7"/>
  <c r="L87" i="7"/>
  <c r="L33" i="7"/>
  <c r="L93" i="7"/>
</calcChain>
</file>

<file path=xl/sharedStrings.xml><?xml version="1.0" encoding="utf-8"?>
<sst xmlns="http://schemas.openxmlformats.org/spreadsheetml/2006/main" count="710" uniqueCount="194">
  <si>
    <t>飲品類</t>
    <phoneticPr fontId="7" type="noConversion"/>
  </si>
  <si>
    <t>濃縮咖啡</t>
    <phoneticPr fontId="7" type="noConversion"/>
  </si>
  <si>
    <t>卡布奇諾</t>
  </si>
  <si>
    <t>經典那堤</t>
  </si>
  <si>
    <t>焦糖瑪奇朵</t>
  </si>
  <si>
    <t>糕點類</t>
    <phoneticPr fontId="7" type="noConversion"/>
  </si>
  <si>
    <t>美式咖啡</t>
  </si>
  <si>
    <t>提拉米蘇</t>
  </si>
  <si>
    <t>檸檬塔</t>
  </si>
  <si>
    <t>經典起司蛋糕</t>
  </si>
  <si>
    <t>經典松露蛋糕</t>
    <phoneticPr fontId="7" type="noConversion"/>
  </si>
  <si>
    <t>起司牛肉可頌</t>
  </si>
  <si>
    <t>經典總匯三明治</t>
  </si>
  <si>
    <t>鮮蔬義大利麵</t>
  </si>
  <si>
    <t>燒肉起司堡</t>
  </si>
  <si>
    <t>輕食類</t>
    <phoneticPr fontId="7" type="noConversion"/>
  </si>
  <si>
    <t>採購量</t>
    <phoneticPr fontId="7" type="noConversion"/>
  </si>
  <si>
    <t>總成本</t>
    <phoneticPr fontId="7" type="noConversion"/>
  </si>
  <si>
    <t>單位成本</t>
    <phoneticPr fontId="7" type="noConversion"/>
  </si>
  <si>
    <t>銷售量</t>
    <phoneticPr fontId="7" type="noConversion"/>
  </si>
  <si>
    <t>單位售價</t>
    <phoneticPr fontId="7" type="noConversion"/>
  </si>
  <si>
    <t>每日精選咖啡</t>
  </si>
  <si>
    <t>每日精選咖啡</t>
    <phoneticPr fontId="7" type="noConversion"/>
  </si>
  <si>
    <t>品名</t>
  </si>
  <si>
    <t>品名</t>
    <phoneticPr fontId="7" type="noConversion"/>
  </si>
  <si>
    <t>代碼</t>
    <phoneticPr fontId="7" type="noConversion"/>
  </si>
  <si>
    <t>DC06</t>
  </si>
  <si>
    <t>DC07</t>
  </si>
  <si>
    <t>CA01</t>
    <phoneticPr fontId="7" type="noConversion"/>
  </si>
  <si>
    <t>CA02</t>
  </si>
  <si>
    <t>CA03</t>
  </si>
  <si>
    <t>CA04</t>
  </si>
  <si>
    <t>DC05</t>
    <phoneticPr fontId="7" type="noConversion"/>
  </si>
  <si>
    <t>DC08</t>
  </si>
  <si>
    <t>DC09</t>
  </si>
  <si>
    <t>DC10</t>
  </si>
  <si>
    <t>起司帕里尼</t>
  </si>
  <si>
    <t>F11</t>
    <phoneticPr fontId="7" type="noConversion"/>
  </si>
  <si>
    <t>F12</t>
  </si>
  <si>
    <t>F13</t>
  </si>
  <si>
    <t>F14</t>
  </si>
  <si>
    <t>F15</t>
  </si>
  <si>
    <t>總收入</t>
    <phoneticPr fontId="7" type="noConversion"/>
  </si>
  <si>
    <t>目前收益</t>
    <phoneticPr fontId="7" type="noConversion"/>
  </si>
  <si>
    <t>濃縮咖啡</t>
  </si>
  <si>
    <t>2019Q1</t>
    <phoneticPr fontId="7" type="noConversion"/>
  </si>
  <si>
    <t>2019Q2</t>
  </si>
  <si>
    <t>2019Q3</t>
  </si>
  <si>
    <t>2019Q4</t>
  </si>
  <si>
    <t>2018Q1</t>
    <phoneticPr fontId="7" type="noConversion"/>
  </si>
  <si>
    <t>2018Q2</t>
  </si>
  <si>
    <t>2018Q3</t>
  </si>
  <si>
    <t>2018Q4</t>
  </si>
  <si>
    <t>2020Q1</t>
    <phoneticPr fontId="7" type="noConversion"/>
  </si>
  <si>
    <t>2020Q2</t>
  </si>
  <si>
    <t>2020Q3</t>
  </si>
  <si>
    <t>2020Q4</t>
  </si>
  <si>
    <t>分店</t>
    <phoneticPr fontId="7" type="noConversion"/>
  </si>
  <si>
    <t>Store260</t>
  </si>
  <si>
    <t>Store340</t>
  </si>
  <si>
    <t>Store380</t>
  </si>
  <si>
    <t>Store100</t>
  </si>
  <si>
    <t>Store490</t>
  </si>
  <si>
    <t>Store250</t>
  </si>
  <si>
    <t>Store120</t>
  </si>
  <si>
    <t>Store300</t>
  </si>
  <si>
    <t>Store170</t>
  </si>
  <si>
    <t>Store350</t>
  </si>
  <si>
    <t>Store390</t>
  </si>
  <si>
    <t>Store160</t>
  </si>
  <si>
    <t>Store310</t>
  </si>
  <si>
    <t>Store180</t>
  </si>
  <si>
    <t>Store240</t>
  </si>
  <si>
    <t>Store230</t>
  </si>
  <si>
    <t>Store110</t>
  </si>
  <si>
    <t>Store290</t>
  </si>
  <si>
    <t>Store200</t>
  </si>
  <si>
    <t>Store140</t>
  </si>
  <si>
    <t>Store440</t>
  </si>
  <si>
    <t>Store620</t>
  </si>
  <si>
    <t>Store650</t>
  </si>
  <si>
    <t>Store590</t>
  </si>
  <si>
    <t>Store450</t>
  </si>
  <si>
    <t>Store680</t>
  </si>
  <si>
    <t>Store530</t>
  </si>
  <si>
    <t>Store580</t>
  </si>
  <si>
    <t>Store540</t>
  </si>
  <si>
    <t>Store220</t>
  </si>
  <si>
    <t>Store280</t>
  </si>
  <si>
    <t>Store570</t>
  </si>
  <si>
    <t>Store210</t>
  </si>
  <si>
    <t>Store520</t>
  </si>
  <si>
    <t>Store880</t>
  </si>
  <si>
    <t>Store700</t>
  </si>
  <si>
    <t>Store600</t>
  </si>
  <si>
    <t>Store740</t>
  </si>
  <si>
    <t>Store150</t>
  </si>
  <si>
    <t>Store710</t>
  </si>
  <si>
    <t>Store720</t>
  </si>
  <si>
    <t>Store850</t>
  </si>
  <si>
    <t>Store730</t>
  </si>
  <si>
    <t>Store760</t>
  </si>
  <si>
    <t>Store890</t>
  </si>
  <si>
    <t>Store840</t>
  </si>
  <si>
    <t>Store550</t>
  </si>
  <si>
    <t>Store780</t>
  </si>
  <si>
    <t>Store810</t>
  </si>
  <si>
    <t>Store610</t>
  </si>
  <si>
    <t>Store860</t>
  </si>
  <si>
    <t>Store750</t>
  </si>
  <si>
    <t>Store800</t>
  </si>
  <si>
    <t>員工數</t>
    <phoneticPr fontId="7" type="noConversion"/>
  </si>
  <si>
    <t>經緯咖啡</t>
    <phoneticPr fontId="7" type="noConversion"/>
  </si>
  <si>
    <t>類別</t>
    <phoneticPr fontId="7" type="noConversion"/>
  </si>
  <si>
    <t>忠孝店</t>
    <phoneticPr fontId="7" type="noConversion"/>
  </si>
  <si>
    <t>仁愛店</t>
    <phoneticPr fontId="7" type="noConversion"/>
  </si>
  <si>
    <t>信義店</t>
    <phoneticPr fontId="7" type="noConversion"/>
  </si>
  <si>
    <t>和平店</t>
    <phoneticPr fontId="7" type="noConversion"/>
  </si>
  <si>
    <t>中正店</t>
    <phoneticPr fontId="7" type="noConversion"/>
  </si>
  <si>
    <t>中山店</t>
    <phoneticPr fontId="7" type="noConversion"/>
  </si>
  <si>
    <t>三和店</t>
    <phoneticPr fontId="7" type="noConversion"/>
  </si>
  <si>
    <t>四維店</t>
    <phoneticPr fontId="7" type="noConversion"/>
  </si>
  <si>
    <t>輕食類</t>
  </si>
  <si>
    <t>最大</t>
    <phoneticPr fontId="7" type="noConversion"/>
  </si>
  <si>
    <t>最小</t>
    <phoneticPr fontId="7" type="noConversion"/>
  </si>
  <si>
    <t>筆數</t>
    <phoneticPr fontId="7" type="noConversion"/>
  </si>
  <si>
    <t>採購分析</t>
    <phoneticPr fontId="7" type="noConversion"/>
  </si>
  <si>
    <t>銷售分析</t>
    <phoneticPr fontId="7" type="noConversion"/>
  </si>
  <si>
    <t>飲品類</t>
  </si>
  <si>
    <t>提拉米蘇且銷售量過300個</t>
    <phoneticPr fontId="7" type="noConversion"/>
  </si>
  <si>
    <t>檸檬塔且銷售量過300個</t>
    <phoneticPr fontId="7" type="noConversion"/>
  </si>
  <si>
    <t>經典松露蛋糕且銷售量過300個</t>
    <phoneticPr fontId="7" type="noConversion"/>
  </si>
  <si>
    <t>經典起司蛋糕且銷售量過300個</t>
    <phoneticPr fontId="7" type="noConversion"/>
  </si>
  <si>
    <t>熱銷糕點統計</t>
    <phoneticPr fontId="7" type="noConversion"/>
  </si>
  <si>
    <t>說明</t>
    <phoneticPr fontId="7" type="noConversion"/>
  </si>
  <si>
    <t>香醇經典咖啡輕食</t>
    <phoneticPr fontId="7" type="noConversion"/>
  </si>
  <si>
    <t>各分店銷售資料</t>
    <phoneticPr fontId="7" type="noConversion"/>
  </si>
  <si>
    <t>日期</t>
    <phoneticPr fontId="7" type="noConversion"/>
  </si>
  <si>
    <t>最小銷售量</t>
    <phoneticPr fontId="7" type="noConversion"/>
  </si>
  <si>
    <t>最大銷售量</t>
    <phoneticPr fontId="7" type="noConversion"/>
  </si>
  <si>
    <t>糕點類</t>
  </si>
  <si>
    <t>第一季</t>
    <phoneticPr fontId="7" type="noConversion"/>
  </si>
  <si>
    <t>第二季</t>
  </si>
  <si>
    <t>第三季</t>
  </si>
  <si>
    <t>第四季</t>
  </si>
  <si>
    <t>咖啡銷售量(杯)</t>
    <phoneticPr fontId="7" type="noConversion"/>
  </si>
  <si>
    <t>香醇經典咖啡</t>
    <phoneticPr fontId="7" type="noConversion"/>
  </si>
  <si>
    <t>第一季各商品營業額</t>
    <phoneticPr fontId="7" type="noConversion"/>
  </si>
  <si>
    <t>商品類別</t>
  </si>
  <si>
    <t>商用烘焙機</t>
    <phoneticPr fontId="17" type="noConversion"/>
  </si>
  <si>
    <t>烘焙機代理</t>
    <phoneticPr fontId="17" type="noConversion"/>
  </si>
  <si>
    <t>類型</t>
    <phoneticPr fontId="17" type="noConversion"/>
  </si>
  <si>
    <t>型號</t>
    <phoneticPr fontId="17" type="noConversion"/>
  </si>
  <si>
    <t>熱源加熱方式</t>
  </si>
  <si>
    <t>旋風集塵器</t>
  </si>
  <si>
    <t>約略價格</t>
  </si>
  <si>
    <t>機型烘豆量</t>
  </si>
  <si>
    <t>手動型</t>
    <phoneticPr fontId="17" type="noConversion"/>
  </si>
  <si>
    <t>AHC103</t>
    <phoneticPr fontId="17" type="noConversion"/>
  </si>
  <si>
    <t>瓦斯半熱風</t>
  </si>
  <si>
    <t>有</t>
  </si>
  <si>
    <t>1kg</t>
  </si>
  <si>
    <t>AMK218</t>
    <phoneticPr fontId="17" type="noConversion"/>
  </si>
  <si>
    <t>瓦斯浮風式</t>
  </si>
  <si>
    <t>無</t>
  </si>
  <si>
    <t>APS329</t>
    <phoneticPr fontId="17" type="noConversion"/>
  </si>
  <si>
    <t>AQT432</t>
    <phoneticPr fontId="17" type="noConversion"/>
  </si>
  <si>
    <t>3kg</t>
  </si>
  <si>
    <t>全自動</t>
    <phoneticPr fontId="17" type="noConversion"/>
  </si>
  <si>
    <t>BST906</t>
    <phoneticPr fontId="17" type="noConversion"/>
  </si>
  <si>
    <t>電熱紅外線熱風</t>
    <phoneticPr fontId="17" type="noConversion"/>
  </si>
  <si>
    <t>有</t>
    <phoneticPr fontId="17" type="noConversion"/>
  </si>
  <si>
    <t>1kg-3kg</t>
  </si>
  <si>
    <t>CRK203</t>
    <phoneticPr fontId="17" type="noConversion"/>
  </si>
  <si>
    <t>瓦斯半熱風</t>
    <phoneticPr fontId="17" type="noConversion"/>
  </si>
  <si>
    <t>1kg-2kg</t>
    <phoneticPr fontId="17" type="noConversion"/>
  </si>
  <si>
    <t>DKT708</t>
    <phoneticPr fontId="17" type="noConversion"/>
  </si>
  <si>
    <t>7kg</t>
  </si>
  <si>
    <t>機型：</t>
    <phoneticPr fontId="7" type="noConversion"/>
  </si>
  <si>
    <t>售價：</t>
    <phoneticPr fontId="7" type="noConversion"/>
  </si>
  <si>
    <t>貸款金額：</t>
    <phoneticPr fontId="7" type="noConversion"/>
  </si>
  <si>
    <t>年利率：</t>
    <phoneticPr fontId="7" type="noConversion"/>
  </si>
  <si>
    <t>貸款期數：</t>
    <phoneticPr fontId="7" type="noConversion"/>
  </si>
  <si>
    <t>每期月底支付本金與利息：</t>
    <phoneticPr fontId="7" type="noConversion"/>
  </si>
  <si>
    <t>每年支付期數：</t>
    <phoneticPr fontId="7" type="noConversion"/>
  </si>
  <si>
    <t>咖啡機貸款方案</t>
    <phoneticPr fontId="7" type="noConversion"/>
  </si>
  <si>
    <t>APS329</t>
  </si>
  <si>
    <t>貸款成數：</t>
    <phoneticPr fontId="7" type="noConversion"/>
  </si>
  <si>
    <t>一月業績</t>
    <phoneticPr fontId="7" type="noConversion"/>
  </si>
  <si>
    <t>二月業績</t>
    <phoneticPr fontId="7" type="noConversion"/>
  </si>
  <si>
    <t>三月業績</t>
    <phoneticPr fontId="7" type="noConversion"/>
  </si>
  <si>
    <t>產品名稱</t>
    <phoneticPr fontId="7" type="noConversion"/>
  </si>
  <si>
    <t>經典松露蛋糕</t>
  </si>
  <si>
    <t>第一季加總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</si>
</sst>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3" formatCode="_-* #,##0.00_-;\-* #,##0.00_-;_-* &quot;-&quot;??_-;_-@_-"/>
    <numFmt numFmtId="176" formatCode="&quot;$&quot;#,##0_);[Red]\(&quot;$&quot;#,##0\)"/>
    <numFmt numFmtId="177" formatCode="_-* #,##0_-;\-* #,##0_-;_-* &quot;-&quot;??_-;_-@_-"/>
    <numFmt numFmtId="178" formatCode="&quot;$&quot;#,##0"/>
    <numFmt numFmtId="179" formatCode="0_ "/>
  </numFmts>
  <fonts count="1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1"/>
      <color theme="1"/>
      <name val="微軟正黑體"/>
      <family val="2"/>
    </font>
    <font>
      <b/>
      <sz val="16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theme="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5">
    <xf numFmtId="0" fontId="0" fillId="0" borderId="0" xfId="0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6" fontId="5" fillId="0" borderId="2" xfId="0" applyNumberFormat="1" applyFont="1" applyBorder="1">
      <alignment vertical="center"/>
    </xf>
    <xf numFmtId="176" fontId="5" fillId="0" borderId="3" xfId="0" applyNumberFormat="1" applyFont="1" applyBorder="1">
      <alignment vertical="center"/>
    </xf>
    <xf numFmtId="176" fontId="5" fillId="0" borderId="5" xfId="0" applyNumberFormat="1" applyFont="1" applyBorder="1">
      <alignment vertical="center"/>
    </xf>
    <xf numFmtId="176" fontId="5" fillId="0" borderId="6" xfId="0" applyNumberFormat="1" applyFont="1" applyBorder="1">
      <alignment vertical="center"/>
    </xf>
    <xf numFmtId="14" fontId="6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9" fillId="4" borderId="0" xfId="0" applyFont="1" applyFill="1">
      <alignment vertical="center"/>
    </xf>
    <xf numFmtId="0" fontId="9" fillId="4" borderId="0" xfId="0" applyFont="1" applyFill="1" applyAlignment="1">
      <alignment horizontal="right" vertical="center"/>
    </xf>
    <xf numFmtId="176" fontId="5" fillId="0" borderId="0" xfId="0" applyNumberFormat="1" applyFont="1">
      <alignment vertical="center"/>
    </xf>
    <xf numFmtId="0" fontId="15" fillId="0" borderId="0" xfId="0" pivotButton="1" applyFont="1">
      <alignment vertical="center"/>
    </xf>
    <xf numFmtId="0" fontId="4" fillId="0" borderId="0" xfId="0" applyFont="1" applyAlignment="1">
      <alignment horizontal="right" vertical="center"/>
    </xf>
    <xf numFmtId="177" fontId="4" fillId="0" borderId="0" xfId="1" applyNumberFormat="1" applyFont="1">
      <alignment vertical="center"/>
    </xf>
    <xf numFmtId="0" fontId="16" fillId="0" borderId="0" xfId="2" applyFont="1">
      <alignment vertical="center"/>
    </xf>
    <xf numFmtId="0" fontId="3" fillId="0" borderId="0" xfId="2">
      <alignment vertical="center"/>
    </xf>
    <xf numFmtId="0" fontId="18" fillId="0" borderId="0" xfId="2" applyFont="1">
      <alignment vertical="center"/>
    </xf>
    <xf numFmtId="178" fontId="3" fillId="0" borderId="0" xfId="2" applyNumberFormat="1">
      <alignment vertical="center"/>
    </xf>
    <xf numFmtId="0" fontId="16" fillId="0" borderId="0" xfId="0" applyFont="1">
      <alignment vertical="center"/>
    </xf>
    <xf numFmtId="8" fontId="3" fillId="0" borderId="0" xfId="2" applyNumberFormat="1">
      <alignment vertical="center"/>
    </xf>
    <xf numFmtId="10" fontId="3" fillId="0" borderId="0" xfId="2" applyNumberFormat="1">
      <alignment vertical="center"/>
    </xf>
    <xf numFmtId="179" fontId="3" fillId="0" borderId="0" xfId="2" applyNumberFormat="1">
      <alignment vertical="center"/>
    </xf>
    <xf numFmtId="0" fontId="2" fillId="0" borderId="0" xfId="2" applyFont="1">
      <alignment vertical="center"/>
    </xf>
    <xf numFmtId="9" fontId="3" fillId="0" borderId="0" xfId="2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14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5" fillId="0" borderId="0" xfId="0" applyNumberFormat="1" applyFont="1">
      <alignment vertical="center"/>
    </xf>
  </cellXfs>
  <cellStyles count="3">
    <cellStyle name="一般" xfId="0" builtinId="0"/>
    <cellStyle name="一般 2" xfId="2" xr:uid="{E802961F-ABDC-4B33-B114-0C34FFA38AD3}"/>
    <cellStyle name="千分位" xfId="1" builtinId="3"/>
  </cellStyles>
  <dxfs count="63"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numFmt numFmtId="178" formatCode="&quot;$&quot;#,##0"/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numFmt numFmtId="178" formatCode="&quot;$&quot;#,##0"/>
    </dxf>
    <dxf>
      <numFmt numFmtId="178" formatCode="&quot;$&quot;#,##0"/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numFmt numFmtId="178" formatCode="&quot;$&quot;#,##0"/>
    </dxf>
    <dxf>
      <numFmt numFmtId="178" formatCode="&quot;$&quot;#,##0"/>
    </dxf>
    <dxf>
      <numFmt numFmtId="178" formatCode="&quot;$&quot;#,##0"/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font>
        <sz val="11"/>
        <family val="1"/>
      </font>
    </dxf>
    <dxf>
      <numFmt numFmtId="178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60.657461805553" createdVersion="6" refreshedVersion="6" minRefreshableVersion="3" recordCount="15" xr:uid="{F0226431-8700-4463-B3B4-68A3E4A5F692}">
  <cacheSource type="worksheet">
    <worksheetSource ref="A3:E18" sheet="第一季營業額"/>
  </cacheSource>
  <cacheFields count="6">
    <cacheField name="類別" numFmtId="0">
      <sharedItems count="3">
        <s v="飲品類"/>
        <s v="輕食類"/>
        <s v="糕點類"/>
      </sharedItems>
    </cacheField>
    <cacheField name="品名" numFmtId="0">
      <sharedItems count="15">
        <s v="美式咖啡"/>
        <s v="焦糖瑪奇朵"/>
        <s v="經典那堤"/>
        <s v="每日精選咖啡"/>
        <s v="卡布奇諾"/>
        <s v="濃縮咖啡"/>
        <s v="經典總匯三明治"/>
        <s v="鮮蔬義大利麵"/>
        <s v="燒肉起司堡"/>
        <s v="起司牛肉可頌"/>
        <s v="起司帕里尼"/>
        <s v="提拉米蘇"/>
        <s v="檸檬塔"/>
        <s v="經典松露蛋糕"/>
        <s v="經典起司蛋糕"/>
      </sharedItems>
    </cacheField>
    <cacheField name="一月" numFmtId="176">
      <sharedItems containsSemiMixedTypes="0" containsString="0" containsNumber="1" containsInteger="1" minValue="73370" maxValue="3371950"/>
    </cacheField>
    <cacheField name="二月" numFmtId="176">
      <sharedItems containsSemiMixedTypes="0" containsString="0" containsNumber="1" containsInteger="1" minValue="16445" maxValue="2038300"/>
    </cacheField>
    <cacheField name="三月" numFmtId="176">
      <sharedItems containsSemiMixedTypes="0" containsString="0" containsNumber="1" containsInteger="1" minValue="33830" maxValue="2307550"/>
    </cacheField>
    <cacheField name="第一季" numFmtId="0" formula="一月 +二月 +三月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3371950"/>
    <n v="2038300"/>
    <n v="2174300"/>
  </r>
  <r>
    <x v="0"/>
    <x v="1"/>
    <n v="1594890"/>
    <n v="743580"/>
    <n v="2149740"/>
  </r>
  <r>
    <x v="0"/>
    <x v="2"/>
    <n v="1769115"/>
    <n v="1773540"/>
    <n v="1264665"/>
  </r>
  <r>
    <x v="0"/>
    <x v="3"/>
    <n v="979020"/>
    <n v="1381580"/>
    <n v="1667220"/>
  </r>
  <r>
    <x v="0"/>
    <x v="4"/>
    <n v="1886700"/>
    <n v="1839200"/>
    <n v="2307550"/>
  </r>
  <r>
    <x v="0"/>
    <x v="5"/>
    <n v="1264980"/>
    <n v="1635600"/>
    <n v="1579050"/>
  </r>
  <r>
    <x v="1"/>
    <x v="6"/>
    <n v="192975"/>
    <n v="115050"/>
    <n v="38700"/>
  </r>
  <r>
    <x v="1"/>
    <x v="7"/>
    <n v="106080"/>
    <n v="117120"/>
    <n v="94920"/>
  </r>
  <r>
    <x v="1"/>
    <x v="8"/>
    <n v="107100"/>
    <n v="119970"/>
    <n v="87750"/>
  </r>
  <r>
    <x v="1"/>
    <x v="9"/>
    <n v="179265"/>
    <n v="92140"/>
    <n v="108460"/>
  </r>
  <r>
    <x v="1"/>
    <x v="10"/>
    <n v="88910"/>
    <n v="85680"/>
    <n v="33830"/>
  </r>
  <r>
    <x v="2"/>
    <x v="11"/>
    <n v="73370"/>
    <n v="16445"/>
    <n v="35475"/>
  </r>
  <r>
    <x v="2"/>
    <x v="12"/>
    <n v="163800"/>
    <n v="132930"/>
    <n v="37520"/>
  </r>
  <r>
    <x v="2"/>
    <x v="13"/>
    <n v="139365"/>
    <n v="91390"/>
    <n v="84835"/>
  </r>
  <r>
    <x v="2"/>
    <x v="14"/>
    <n v="79300"/>
    <n v="110370"/>
    <n v="70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CBB84-4D20-4FE9-BC29-18B57C730B1B}" name="樞紐分析表9" cacheId="8" applyNumberFormats="0" applyBorderFormats="0" applyFontFormats="0" applyPatternFormats="0" applyAlignmentFormats="0" applyWidthHeightFormats="1" dataCaption="值" updatedVersion="7" minRefreshableVersion="3" useAutoFormatting="1" rowGrandTotals="0" colGrandTotals="0" itemPrintTitles="1" createdVersion="6" indent="0" compact="0" compactData="0" multipleFieldFilters="0" chartFormat="9">
  <location ref="A3:B7" firstHeaderRow="1" firstDataRow="1" firstDataCol="1" rowPageCount="1" colPageCount="1"/>
  <pivotFields count="6">
    <pivotField name="商品類別"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16">
        <item x="4"/>
        <item x="3"/>
        <item x="0"/>
        <item x="9"/>
        <item x="10"/>
        <item x="11"/>
        <item x="1"/>
        <item x="2"/>
        <item x="13"/>
        <item x="14"/>
        <item x="6"/>
        <item x="5"/>
        <item x="8"/>
        <item x="7"/>
        <item x="12"/>
        <item t="default"/>
      </items>
    </pivotField>
    <pivotField compact="0" numFmtId="176" outline="0" showAll="0"/>
    <pivotField compact="0" numFmtId="176" outline="0" showAll="0"/>
    <pivotField compact="0" numFmtId="176" outline="0" showAll="0"/>
    <pivotField dataField="1" compact="0" outline="0" dragToRow="0" dragToCol="0" dragToPage="0" showAll="0" defaultSubtotal="0"/>
  </pivotFields>
  <rowFields count="1">
    <field x="1"/>
  </rowFields>
  <rowItems count="4">
    <i>
      <x v="5"/>
    </i>
    <i>
      <x v="8"/>
    </i>
    <i>
      <x v="9"/>
    </i>
    <i>
      <x v="14"/>
    </i>
  </rowItems>
  <colItems count="1">
    <i/>
  </colItems>
  <pageFields count="1">
    <pageField fld="0" item="2" hier="-1"/>
  </pageFields>
  <dataFields count="1">
    <dataField name="第一季加總" fld="5" baseField="0" baseItem="0" numFmtId="176"/>
  </dataFields>
  <formats count="10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6">
            <x v="0"/>
            <x v="1"/>
            <x v="2"/>
            <x v="6"/>
            <x v="7"/>
            <x v="11"/>
          </reference>
        </references>
      </pivotArea>
    </format>
    <format dxfId="57">
      <pivotArea dataOnly="0" labelOnly="1" grandRow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6">
            <x v="0"/>
            <x v="1"/>
            <x v="2"/>
            <x v="6"/>
            <x v="7"/>
            <x v="11"/>
          </reference>
        </references>
      </pivotArea>
    </format>
    <format dxfId="5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88F235-F7AD-4E56-98D2-6353E7F647BB}" name="表格1_3" displayName="表格1_3" ref="F3:K10" totalsRowShown="0">
  <autoFilter ref="F3:K10" xr:uid="{F368C29F-3340-42A1-A66C-73B0FDD810D1}"/>
  <tableColumns count="6">
    <tableColumn id="1" xr3:uid="{A40B29D0-4B49-4266-A43A-010E87331390}" name="類型"/>
    <tableColumn id="2" xr3:uid="{999D4F10-D2BC-4857-BCB5-7B09A07F8AEF}" name="型號"/>
    <tableColumn id="3" xr3:uid="{7E32FC74-D556-485E-A1E7-50030F79D044}" name="熱源加熱方式"/>
    <tableColumn id="4" xr3:uid="{9C7931B1-A192-4A78-A671-BC2D82AC474D}" name="旋風集塵器"/>
    <tableColumn id="5" xr3:uid="{5C3C4190-580C-436F-A31B-ABF4720C520B}" name="約略價格" dataDxfId="62"/>
    <tableColumn id="6" xr3:uid="{2E239A6E-3994-4757-9AFC-E04C53B1F0EC}" name="機型烘豆量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1276-947A-4DFC-AE2E-7E546133C2AC}">
  <dimension ref="A1:N81"/>
  <sheetViews>
    <sheetView tabSelected="1" workbookViewId="0"/>
  </sheetViews>
  <sheetFormatPr defaultRowHeight="15" x14ac:dyDescent="0.25"/>
  <cols>
    <col min="1" max="1" width="11.125" style="3" customWidth="1"/>
    <col min="2" max="2" width="8.375" style="3" customWidth="1"/>
    <col min="3" max="14" width="9.875" style="3" customWidth="1"/>
    <col min="15" max="16384" width="9" style="3"/>
  </cols>
  <sheetData>
    <row r="1" spans="1:14" ht="23.25" x14ac:dyDescent="0.25">
      <c r="A1" s="6" t="s">
        <v>112</v>
      </c>
    </row>
    <row r="2" spans="1:14" x14ac:dyDescent="0.25">
      <c r="A2" s="11" t="s">
        <v>57</v>
      </c>
      <c r="B2" s="12" t="s">
        <v>111</v>
      </c>
      <c r="C2" s="12" t="s">
        <v>49</v>
      </c>
      <c r="D2" s="12" t="s">
        <v>50</v>
      </c>
      <c r="E2" s="12" t="s">
        <v>51</v>
      </c>
      <c r="F2" s="12" t="s">
        <v>52</v>
      </c>
      <c r="G2" s="12" t="s">
        <v>45</v>
      </c>
      <c r="H2" s="12" t="s">
        <v>46</v>
      </c>
      <c r="I2" s="12" t="s">
        <v>47</v>
      </c>
      <c r="J2" s="12" t="s">
        <v>48</v>
      </c>
      <c r="K2" s="12" t="s">
        <v>53</v>
      </c>
      <c r="L2" s="12" t="s">
        <v>54</v>
      </c>
      <c r="M2" s="12" t="s">
        <v>55</v>
      </c>
      <c r="N2" s="13" t="s">
        <v>56</v>
      </c>
    </row>
    <row r="3" spans="1:14" x14ac:dyDescent="0.25">
      <c r="A3" s="7" t="s">
        <v>105</v>
      </c>
      <c r="B3" s="8">
        <v>8</v>
      </c>
      <c r="C3" s="14">
        <v>2771</v>
      </c>
      <c r="D3" s="14">
        <v>5308</v>
      </c>
      <c r="E3" s="14">
        <v>3462</v>
      </c>
      <c r="F3" s="14">
        <v>3131</v>
      </c>
      <c r="G3" s="14">
        <v>2052</v>
      </c>
      <c r="H3" s="14">
        <v>1931</v>
      </c>
      <c r="I3" s="14">
        <v>4095</v>
      </c>
      <c r="J3" s="14">
        <v>2074</v>
      </c>
      <c r="K3" s="14">
        <v>5625</v>
      </c>
      <c r="L3" s="14">
        <v>1297</v>
      </c>
      <c r="M3" s="14">
        <v>3243</v>
      </c>
      <c r="N3" s="15">
        <v>6287</v>
      </c>
    </row>
    <row r="4" spans="1:14" x14ac:dyDescent="0.25">
      <c r="A4" s="7" t="s">
        <v>66</v>
      </c>
      <c r="B4" s="8">
        <v>9</v>
      </c>
      <c r="C4" s="14">
        <v>2016</v>
      </c>
      <c r="D4" s="14">
        <v>5422</v>
      </c>
      <c r="E4" s="14">
        <v>4353</v>
      </c>
      <c r="F4" s="14">
        <v>6058</v>
      </c>
      <c r="G4" s="14">
        <v>3260</v>
      </c>
      <c r="H4" s="14">
        <v>4929</v>
      </c>
      <c r="I4" s="14">
        <v>5471</v>
      </c>
      <c r="J4" s="14">
        <v>3822</v>
      </c>
      <c r="K4" s="14">
        <v>6630</v>
      </c>
      <c r="L4" s="14">
        <v>5498</v>
      </c>
      <c r="M4" s="14">
        <v>2013</v>
      </c>
      <c r="N4" s="15">
        <v>4843</v>
      </c>
    </row>
    <row r="5" spans="1:14" x14ac:dyDescent="0.25">
      <c r="A5" s="7" t="s">
        <v>86</v>
      </c>
      <c r="B5" s="8">
        <v>5</v>
      </c>
      <c r="C5" s="14">
        <v>5734</v>
      </c>
      <c r="D5" s="14">
        <v>1749</v>
      </c>
      <c r="E5" s="14">
        <v>6796</v>
      </c>
      <c r="F5" s="14">
        <v>7810</v>
      </c>
      <c r="G5" s="14">
        <v>6739</v>
      </c>
      <c r="H5" s="14">
        <v>6838</v>
      </c>
      <c r="I5" s="14">
        <v>6477</v>
      </c>
      <c r="J5" s="14">
        <v>1589</v>
      </c>
      <c r="K5" s="14">
        <v>1584</v>
      </c>
      <c r="L5" s="14">
        <v>3077</v>
      </c>
      <c r="M5" s="14">
        <v>6407</v>
      </c>
      <c r="N5" s="15">
        <v>5975</v>
      </c>
    </row>
    <row r="6" spans="1:14" x14ac:dyDescent="0.25">
      <c r="A6" s="7" t="s">
        <v>90</v>
      </c>
      <c r="B6" s="8">
        <v>5</v>
      </c>
      <c r="C6" s="14">
        <v>1473</v>
      </c>
      <c r="D6" s="14">
        <v>3546</v>
      </c>
      <c r="E6" s="14">
        <v>4788</v>
      </c>
      <c r="F6" s="14">
        <v>2839</v>
      </c>
      <c r="G6" s="14">
        <v>6633</v>
      </c>
      <c r="H6" s="14">
        <v>7765</v>
      </c>
      <c r="I6" s="14">
        <v>7667</v>
      </c>
      <c r="J6" s="14">
        <v>6458</v>
      </c>
      <c r="K6" s="14">
        <v>7248</v>
      </c>
      <c r="L6" s="14">
        <v>1814</v>
      </c>
      <c r="M6" s="14">
        <v>6552</v>
      </c>
      <c r="N6" s="15">
        <v>1274</v>
      </c>
    </row>
    <row r="7" spans="1:14" x14ac:dyDescent="0.25">
      <c r="A7" s="7" t="s">
        <v>93</v>
      </c>
      <c r="B7" s="8">
        <v>13</v>
      </c>
      <c r="C7" s="14">
        <v>1582</v>
      </c>
      <c r="D7" s="14">
        <v>2068</v>
      </c>
      <c r="E7" s="14">
        <v>1864</v>
      </c>
      <c r="F7" s="14">
        <v>1457</v>
      </c>
      <c r="G7" s="14">
        <v>2754</v>
      </c>
      <c r="H7" s="14">
        <v>4722</v>
      </c>
      <c r="I7" s="14">
        <v>5343</v>
      </c>
      <c r="J7" s="14">
        <v>1277</v>
      </c>
      <c r="K7" s="14">
        <v>3633</v>
      </c>
      <c r="L7" s="14">
        <v>6744</v>
      </c>
      <c r="M7" s="14">
        <v>2568</v>
      </c>
      <c r="N7" s="15">
        <v>7518</v>
      </c>
    </row>
    <row r="8" spans="1:14" x14ac:dyDescent="0.25">
      <c r="A8" s="7" t="s">
        <v>67</v>
      </c>
      <c r="B8" s="8">
        <v>9</v>
      </c>
      <c r="C8" s="14">
        <v>2430</v>
      </c>
      <c r="D8" s="14">
        <v>4246</v>
      </c>
      <c r="E8" s="14">
        <v>3907</v>
      </c>
      <c r="F8" s="14">
        <v>5966</v>
      </c>
      <c r="G8" s="14">
        <v>4331</v>
      </c>
      <c r="H8" s="14">
        <v>4331</v>
      </c>
      <c r="I8" s="14">
        <v>1740</v>
      </c>
      <c r="J8" s="14">
        <v>5899</v>
      </c>
      <c r="K8" s="14">
        <v>1526</v>
      </c>
      <c r="L8" s="14">
        <v>4340</v>
      </c>
      <c r="M8" s="14">
        <v>3011</v>
      </c>
      <c r="N8" s="15">
        <v>5489</v>
      </c>
    </row>
    <row r="9" spans="1:14" x14ac:dyDescent="0.25">
      <c r="A9" s="7" t="s">
        <v>106</v>
      </c>
      <c r="B9" s="8">
        <v>13</v>
      </c>
      <c r="C9" s="14">
        <v>6204</v>
      </c>
      <c r="D9" s="14">
        <v>6025</v>
      </c>
      <c r="E9" s="14">
        <v>5551</v>
      </c>
      <c r="F9" s="14">
        <v>1884</v>
      </c>
      <c r="G9" s="14">
        <v>4677</v>
      </c>
      <c r="H9" s="14">
        <v>7158</v>
      </c>
      <c r="I9" s="14">
        <v>4087</v>
      </c>
      <c r="J9" s="14">
        <v>3947</v>
      </c>
      <c r="K9" s="14">
        <v>3379</v>
      </c>
      <c r="L9" s="14">
        <v>7476</v>
      </c>
      <c r="M9" s="14">
        <v>6501</v>
      </c>
      <c r="N9" s="15">
        <v>2814</v>
      </c>
    </row>
    <row r="10" spans="1:14" x14ac:dyDescent="0.25">
      <c r="A10" s="7" t="s">
        <v>81</v>
      </c>
      <c r="B10" s="8">
        <v>12</v>
      </c>
      <c r="C10" s="14">
        <v>6535</v>
      </c>
      <c r="D10" s="14">
        <v>2794</v>
      </c>
      <c r="E10" s="14">
        <v>6393</v>
      </c>
      <c r="F10" s="14">
        <v>7340</v>
      </c>
      <c r="G10" s="14">
        <v>1707</v>
      </c>
      <c r="H10" s="14">
        <v>5691</v>
      </c>
      <c r="I10" s="14">
        <v>3852</v>
      </c>
      <c r="J10" s="14">
        <v>5544</v>
      </c>
      <c r="K10" s="14">
        <v>4156</v>
      </c>
      <c r="L10" s="14">
        <v>4973</v>
      </c>
      <c r="M10" s="14">
        <v>7217</v>
      </c>
      <c r="N10" s="15">
        <v>2970</v>
      </c>
    </row>
    <row r="11" spans="1:14" x14ac:dyDescent="0.25">
      <c r="A11" s="7" t="s">
        <v>73</v>
      </c>
      <c r="B11" s="8">
        <v>12</v>
      </c>
      <c r="C11" s="14">
        <v>3463</v>
      </c>
      <c r="D11" s="14">
        <v>4422</v>
      </c>
      <c r="E11" s="14">
        <v>5964</v>
      </c>
      <c r="F11" s="14">
        <v>5514</v>
      </c>
      <c r="G11" s="14">
        <v>3810</v>
      </c>
      <c r="H11" s="14">
        <v>6655</v>
      </c>
      <c r="I11" s="14">
        <v>2578</v>
      </c>
      <c r="J11" s="14">
        <v>7236</v>
      </c>
      <c r="K11" s="14">
        <v>5470</v>
      </c>
      <c r="L11" s="14">
        <v>6262</v>
      </c>
      <c r="M11" s="14">
        <v>3479</v>
      </c>
      <c r="N11" s="15">
        <v>2884</v>
      </c>
    </row>
    <row r="12" spans="1:14" x14ac:dyDescent="0.25">
      <c r="A12" s="7" t="s">
        <v>82</v>
      </c>
      <c r="B12" s="8">
        <v>12</v>
      </c>
      <c r="C12" s="14">
        <v>3314</v>
      </c>
      <c r="D12" s="14">
        <v>1316</v>
      </c>
      <c r="E12" s="14">
        <v>4139</v>
      </c>
      <c r="F12" s="14">
        <v>7341</v>
      </c>
      <c r="G12" s="14">
        <v>5620</v>
      </c>
      <c r="H12" s="14">
        <v>3455</v>
      </c>
      <c r="I12" s="14">
        <v>5933</v>
      </c>
      <c r="J12" s="14">
        <v>5021</v>
      </c>
      <c r="K12" s="14">
        <v>1622</v>
      </c>
      <c r="L12" s="14">
        <v>3901</v>
      </c>
      <c r="M12" s="14">
        <v>3587</v>
      </c>
      <c r="N12" s="15">
        <v>5360</v>
      </c>
    </row>
    <row r="13" spans="1:14" x14ac:dyDescent="0.25">
      <c r="A13" s="7" t="s">
        <v>76</v>
      </c>
      <c r="B13" s="8">
        <v>6</v>
      </c>
      <c r="C13" s="14">
        <v>1244</v>
      </c>
      <c r="D13" s="14">
        <v>7209</v>
      </c>
      <c r="E13" s="14">
        <v>3043</v>
      </c>
      <c r="F13" s="14">
        <v>6652</v>
      </c>
      <c r="G13" s="14">
        <v>6731</v>
      </c>
      <c r="H13" s="14">
        <v>2816</v>
      </c>
      <c r="I13" s="14">
        <v>3754</v>
      </c>
      <c r="J13" s="14">
        <v>4415</v>
      </c>
      <c r="K13" s="14">
        <v>2906</v>
      </c>
      <c r="L13" s="14">
        <v>5671</v>
      </c>
      <c r="M13" s="14">
        <v>3258</v>
      </c>
      <c r="N13" s="15">
        <v>5664</v>
      </c>
    </row>
    <row r="14" spans="1:14" x14ac:dyDescent="0.25">
      <c r="A14" s="7" t="s">
        <v>91</v>
      </c>
      <c r="B14" s="8">
        <v>8</v>
      </c>
      <c r="C14" s="14">
        <v>3700</v>
      </c>
      <c r="D14" s="14">
        <v>7672</v>
      </c>
      <c r="E14" s="14">
        <v>5542</v>
      </c>
      <c r="F14" s="14">
        <v>7242</v>
      </c>
      <c r="G14" s="14">
        <v>7275</v>
      </c>
      <c r="H14" s="14">
        <v>4060</v>
      </c>
      <c r="I14" s="14">
        <v>6277</v>
      </c>
      <c r="J14" s="14">
        <v>3560</v>
      </c>
      <c r="K14" s="14">
        <v>3209</v>
      </c>
      <c r="L14" s="14">
        <v>4196</v>
      </c>
      <c r="M14" s="14">
        <v>5837</v>
      </c>
      <c r="N14" s="15">
        <v>4762</v>
      </c>
    </row>
    <row r="15" spans="1:14" x14ac:dyDescent="0.25">
      <c r="A15" s="7" t="s">
        <v>79</v>
      </c>
      <c r="B15" s="8">
        <v>13</v>
      </c>
      <c r="C15" s="14">
        <v>6269</v>
      </c>
      <c r="D15" s="14">
        <v>5673</v>
      </c>
      <c r="E15" s="14">
        <v>7583</v>
      </c>
      <c r="F15" s="14">
        <v>5128</v>
      </c>
      <c r="G15" s="14">
        <v>2077</v>
      </c>
      <c r="H15" s="14">
        <v>1963</v>
      </c>
      <c r="I15" s="14">
        <v>7267</v>
      </c>
      <c r="J15" s="14">
        <v>7302</v>
      </c>
      <c r="K15" s="14">
        <v>5762</v>
      </c>
      <c r="L15" s="14">
        <v>1912</v>
      </c>
      <c r="M15" s="14">
        <v>3569</v>
      </c>
      <c r="N15" s="15">
        <v>4191</v>
      </c>
    </row>
    <row r="16" spans="1:14" x14ac:dyDescent="0.25">
      <c r="A16" s="7" t="s">
        <v>84</v>
      </c>
      <c r="B16" s="8">
        <v>8</v>
      </c>
      <c r="C16" s="14">
        <v>2291</v>
      </c>
      <c r="D16" s="14">
        <v>2630</v>
      </c>
      <c r="E16" s="14">
        <v>3672</v>
      </c>
      <c r="F16" s="14">
        <v>7518</v>
      </c>
      <c r="G16" s="14">
        <v>6728</v>
      </c>
      <c r="H16" s="14">
        <v>6041</v>
      </c>
      <c r="I16" s="14">
        <v>6819</v>
      </c>
      <c r="J16" s="14">
        <v>2211</v>
      </c>
      <c r="K16" s="14">
        <v>4604</v>
      </c>
      <c r="L16" s="14">
        <v>7493</v>
      </c>
      <c r="M16" s="14">
        <v>3864</v>
      </c>
      <c r="N16" s="15">
        <v>5096</v>
      </c>
    </row>
    <row r="17" spans="1:14" x14ac:dyDescent="0.25">
      <c r="A17" s="7" t="s">
        <v>94</v>
      </c>
      <c r="B17" s="8">
        <v>8</v>
      </c>
      <c r="C17" s="14">
        <v>5434</v>
      </c>
      <c r="D17" s="14">
        <v>7468</v>
      </c>
      <c r="E17" s="14">
        <v>5893</v>
      </c>
      <c r="F17" s="14">
        <v>6529</v>
      </c>
      <c r="G17" s="14">
        <v>4096</v>
      </c>
      <c r="H17" s="14">
        <v>1485</v>
      </c>
      <c r="I17" s="14">
        <v>2098</v>
      </c>
      <c r="J17" s="14">
        <v>7784</v>
      </c>
      <c r="K17" s="14">
        <v>5644</v>
      </c>
      <c r="L17" s="14">
        <v>6975</v>
      </c>
      <c r="M17" s="14">
        <v>4214</v>
      </c>
      <c r="N17" s="15">
        <v>6156</v>
      </c>
    </row>
    <row r="18" spans="1:14" x14ac:dyDescent="0.25">
      <c r="A18" s="7" t="s">
        <v>95</v>
      </c>
      <c r="B18" s="8">
        <v>11</v>
      </c>
      <c r="C18" s="14">
        <v>4160</v>
      </c>
      <c r="D18" s="14">
        <v>1782</v>
      </c>
      <c r="E18" s="14">
        <v>5885</v>
      </c>
      <c r="F18" s="14">
        <v>3954</v>
      </c>
      <c r="G18" s="14">
        <v>3315</v>
      </c>
      <c r="H18" s="14">
        <v>4245</v>
      </c>
      <c r="I18" s="14">
        <v>1631</v>
      </c>
      <c r="J18" s="14">
        <v>3854</v>
      </c>
      <c r="K18" s="14">
        <v>2484</v>
      </c>
      <c r="L18" s="14">
        <v>5382</v>
      </c>
      <c r="M18" s="14">
        <v>5028</v>
      </c>
      <c r="N18" s="15">
        <v>5694</v>
      </c>
    </row>
    <row r="19" spans="1:14" x14ac:dyDescent="0.25">
      <c r="A19" s="7" t="s">
        <v>109</v>
      </c>
      <c r="B19" s="8">
        <v>8</v>
      </c>
      <c r="C19" s="14">
        <v>4452</v>
      </c>
      <c r="D19" s="14">
        <v>3283</v>
      </c>
      <c r="E19" s="14">
        <v>4269</v>
      </c>
      <c r="F19" s="14">
        <v>6448</v>
      </c>
      <c r="G19" s="14">
        <v>7372</v>
      </c>
      <c r="H19" s="14">
        <v>1727</v>
      </c>
      <c r="I19" s="14">
        <v>3507</v>
      </c>
      <c r="J19" s="14">
        <v>5899</v>
      </c>
      <c r="K19" s="14">
        <v>4564</v>
      </c>
      <c r="L19" s="14">
        <v>6147</v>
      </c>
      <c r="M19" s="14">
        <v>4629</v>
      </c>
      <c r="N19" s="15">
        <v>5252</v>
      </c>
    </row>
    <row r="20" spans="1:14" x14ac:dyDescent="0.25">
      <c r="A20" s="7" t="s">
        <v>63</v>
      </c>
      <c r="B20" s="8">
        <v>8</v>
      </c>
      <c r="C20" s="14">
        <v>3349</v>
      </c>
      <c r="D20" s="14">
        <v>3159</v>
      </c>
      <c r="E20" s="14">
        <v>5056</v>
      </c>
      <c r="F20" s="14">
        <v>2863</v>
      </c>
      <c r="G20" s="14">
        <v>1817</v>
      </c>
      <c r="H20" s="14">
        <v>2585</v>
      </c>
      <c r="I20" s="14">
        <v>7849</v>
      </c>
      <c r="J20" s="14">
        <v>2442</v>
      </c>
      <c r="K20" s="14">
        <v>3628</v>
      </c>
      <c r="L20" s="14">
        <v>2306</v>
      </c>
      <c r="M20" s="14">
        <v>3750</v>
      </c>
      <c r="N20" s="15">
        <v>5248</v>
      </c>
    </row>
    <row r="21" spans="1:14" x14ac:dyDescent="0.25">
      <c r="A21" s="7" t="s">
        <v>97</v>
      </c>
      <c r="B21" s="8">
        <v>11</v>
      </c>
      <c r="C21" s="14">
        <v>5870</v>
      </c>
      <c r="D21" s="14">
        <v>6014</v>
      </c>
      <c r="E21" s="14">
        <v>7613</v>
      </c>
      <c r="F21" s="14">
        <v>3511</v>
      </c>
      <c r="G21" s="14">
        <v>5145</v>
      </c>
      <c r="H21" s="14">
        <v>1714</v>
      </c>
      <c r="I21" s="14">
        <v>2122</v>
      </c>
      <c r="J21" s="14">
        <v>3135</v>
      </c>
      <c r="K21" s="14">
        <v>3807</v>
      </c>
      <c r="L21" s="14">
        <v>3900</v>
      </c>
      <c r="M21" s="14">
        <v>6602</v>
      </c>
      <c r="N21" s="15">
        <v>6751</v>
      </c>
    </row>
    <row r="22" spans="1:14" x14ac:dyDescent="0.25">
      <c r="A22" s="7" t="s">
        <v>87</v>
      </c>
      <c r="B22" s="8">
        <v>10</v>
      </c>
      <c r="C22" s="14">
        <v>3917</v>
      </c>
      <c r="D22" s="14">
        <v>2480</v>
      </c>
      <c r="E22" s="14">
        <v>4234</v>
      </c>
      <c r="F22" s="14">
        <v>6784</v>
      </c>
      <c r="G22" s="14">
        <v>4474</v>
      </c>
      <c r="H22" s="14">
        <v>7820</v>
      </c>
      <c r="I22" s="14">
        <v>4453</v>
      </c>
      <c r="J22" s="14">
        <v>3813</v>
      </c>
      <c r="K22" s="14">
        <v>7816</v>
      </c>
      <c r="L22" s="14">
        <v>7200</v>
      </c>
      <c r="M22" s="14">
        <v>2697</v>
      </c>
      <c r="N22" s="15">
        <v>3185</v>
      </c>
    </row>
    <row r="23" spans="1:14" x14ac:dyDescent="0.25">
      <c r="A23" s="7" t="s">
        <v>105</v>
      </c>
      <c r="B23" s="8">
        <v>8</v>
      </c>
      <c r="C23" s="14">
        <v>2771</v>
      </c>
      <c r="D23" s="14">
        <v>5308</v>
      </c>
      <c r="E23" s="14">
        <v>3462</v>
      </c>
      <c r="F23" s="14">
        <v>3131</v>
      </c>
      <c r="G23" s="14">
        <v>2052</v>
      </c>
      <c r="H23" s="14">
        <v>1931</v>
      </c>
      <c r="I23" s="14">
        <v>4095</v>
      </c>
      <c r="J23" s="14">
        <v>2074</v>
      </c>
      <c r="K23" s="14">
        <v>5625</v>
      </c>
      <c r="L23" s="14">
        <v>1297</v>
      </c>
      <c r="M23" s="14">
        <v>3243</v>
      </c>
      <c r="N23" s="15">
        <v>6287</v>
      </c>
    </row>
    <row r="24" spans="1:14" x14ac:dyDescent="0.25">
      <c r="A24" s="7" t="s">
        <v>82</v>
      </c>
      <c r="B24" s="8">
        <v>12</v>
      </c>
      <c r="C24" s="14">
        <v>3314</v>
      </c>
      <c r="D24" s="14">
        <v>1316</v>
      </c>
      <c r="E24" s="14">
        <v>4139</v>
      </c>
      <c r="F24" s="14">
        <v>7341</v>
      </c>
      <c r="G24" s="14">
        <v>5620</v>
      </c>
      <c r="H24" s="14">
        <v>3455</v>
      </c>
      <c r="I24" s="14">
        <v>5933</v>
      </c>
      <c r="J24" s="14">
        <v>5021</v>
      </c>
      <c r="K24" s="14">
        <v>1622</v>
      </c>
      <c r="L24" s="14">
        <v>3901</v>
      </c>
      <c r="M24" s="14">
        <v>3587</v>
      </c>
      <c r="N24" s="15">
        <v>5360</v>
      </c>
    </row>
    <row r="25" spans="1:14" x14ac:dyDescent="0.25">
      <c r="A25" s="7" t="s">
        <v>75</v>
      </c>
      <c r="B25" s="8">
        <v>5</v>
      </c>
      <c r="C25" s="14">
        <v>3516</v>
      </c>
      <c r="D25" s="14">
        <v>3018</v>
      </c>
      <c r="E25" s="14">
        <v>6006</v>
      </c>
      <c r="F25" s="14">
        <v>3240</v>
      </c>
      <c r="G25" s="14">
        <v>4177</v>
      </c>
      <c r="H25" s="14">
        <v>5918</v>
      </c>
      <c r="I25" s="14">
        <v>7719</v>
      </c>
      <c r="J25" s="14">
        <v>5308</v>
      </c>
      <c r="K25" s="14">
        <v>6301</v>
      </c>
      <c r="L25" s="14">
        <v>5706</v>
      </c>
      <c r="M25" s="14">
        <v>2084</v>
      </c>
      <c r="N25" s="15">
        <v>5465</v>
      </c>
    </row>
    <row r="26" spans="1:14" x14ac:dyDescent="0.25">
      <c r="A26" s="7" t="s">
        <v>75</v>
      </c>
      <c r="B26" s="8">
        <v>5</v>
      </c>
      <c r="C26" s="14">
        <v>3516</v>
      </c>
      <c r="D26" s="14">
        <v>3018</v>
      </c>
      <c r="E26" s="14">
        <v>6006</v>
      </c>
      <c r="F26" s="14">
        <v>3240</v>
      </c>
      <c r="G26" s="14">
        <v>4177</v>
      </c>
      <c r="H26" s="14">
        <v>5918</v>
      </c>
      <c r="I26" s="14">
        <v>7719</v>
      </c>
      <c r="J26" s="14">
        <v>5308</v>
      </c>
      <c r="K26" s="14">
        <v>6301</v>
      </c>
      <c r="L26" s="14">
        <v>5706</v>
      </c>
      <c r="M26" s="14">
        <v>2084</v>
      </c>
      <c r="N26" s="15">
        <v>5465</v>
      </c>
    </row>
    <row r="27" spans="1:14" x14ac:dyDescent="0.25">
      <c r="A27" s="7" t="s">
        <v>108</v>
      </c>
      <c r="B27" s="8">
        <v>11</v>
      </c>
      <c r="C27" s="14">
        <v>1924</v>
      </c>
      <c r="D27" s="14">
        <v>4650</v>
      </c>
      <c r="E27" s="14">
        <v>3464</v>
      </c>
      <c r="F27" s="14">
        <v>2080</v>
      </c>
      <c r="G27" s="14">
        <v>5834</v>
      </c>
      <c r="H27" s="14">
        <v>3240</v>
      </c>
      <c r="I27" s="14">
        <v>2923</v>
      </c>
      <c r="J27" s="14">
        <v>4594</v>
      </c>
      <c r="K27" s="14">
        <v>1527</v>
      </c>
      <c r="L27" s="14">
        <v>3786</v>
      </c>
      <c r="M27" s="14">
        <v>6159</v>
      </c>
      <c r="N27" s="15">
        <v>5402</v>
      </c>
    </row>
    <row r="28" spans="1:14" x14ac:dyDescent="0.25">
      <c r="A28" s="7" t="s">
        <v>80</v>
      </c>
      <c r="B28" s="8">
        <v>5</v>
      </c>
      <c r="C28" s="14">
        <v>7449</v>
      </c>
      <c r="D28" s="14">
        <v>2439</v>
      </c>
      <c r="E28" s="14">
        <v>5948</v>
      </c>
      <c r="F28" s="14">
        <v>3700</v>
      </c>
      <c r="G28" s="14">
        <v>6220</v>
      </c>
      <c r="H28" s="14">
        <v>1607</v>
      </c>
      <c r="I28" s="14">
        <v>6897</v>
      </c>
      <c r="J28" s="14">
        <v>2408</v>
      </c>
      <c r="K28" s="14">
        <v>3684</v>
      </c>
      <c r="L28" s="14">
        <v>1554</v>
      </c>
      <c r="M28" s="14">
        <v>7277</v>
      </c>
      <c r="N28" s="15">
        <v>2295</v>
      </c>
    </row>
    <row r="29" spans="1:14" x14ac:dyDescent="0.25">
      <c r="A29" s="7" t="s">
        <v>59</v>
      </c>
      <c r="B29" s="8">
        <v>8</v>
      </c>
      <c r="C29" s="14">
        <v>7444</v>
      </c>
      <c r="D29" s="14">
        <v>1464</v>
      </c>
      <c r="E29" s="14">
        <v>5000</v>
      </c>
      <c r="F29" s="14">
        <v>2515</v>
      </c>
      <c r="G29" s="14">
        <v>3584</v>
      </c>
      <c r="H29" s="14">
        <v>3392</v>
      </c>
      <c r="I29" s="14">
        <v>6822</v>
      </c>
      <c r="J29" s="14">
        <v>1424</v>
      </c>
      <c r="K29" s="14">
        <v>6046</v>
      </c>
      <c r="L29" s="14">
        <v>4691</v>
      </c>
      <c r="M29" s="14">
        <v>3459</v>
      </c>
      <c r="N29" s="15">
        <v>3083</v>
      </c>
    </row>
    <row r="30" spans="1:14" x14ac:dyDescent="0.25">
      <c r="A30" s="7" t="s">
        <v>110</v>
      </c>
      <c r="B30" s="8">
        <v>12</v>
      </c>
      <c r="C30" s="14">
        <v>6702</v>
      </c>
      <c r="D30" s="14">
        <v>4524</v>
      </c>
      <c r="E30" s="14">
        <v>1735</v>
      </c>
      <c r="F30" s="14">
        <v>6903</v>
      </c>
      <c r="G30" s="14">
        <v>3465</v>
      </c>
      <c r="H30" s="14">
        <v>5449</v>
      </c>
      <c r="I30" s="14">
        <v>6067</v>
      </c>
      <c r="J30" s="14">
        <v>3280</v>
      </c>
      <c r="K30" s="14">
        <v>3851</v>
      </c>
      <c r="L30" s="14">
        <v>5588</v>
      </c>
      <c r="M30" s="14">
        <v>3869</v>
      </c>
      <c r="N30" s="15">
        <v>1809</v>
      </c>
    </row>
    <row r="31" spans="1:14" x14ac:dyDescent="0.25">
      <c r="A31" s="7" t="s">
        <v>82</v>
      </c>
      <c r="B31" s="8">
        <v>12</v>
      </c>
      <c r="C31" s="14">
        <v>3314</v>
      </c>
      <c r="D31" s="14">
        <v>1316</v>
      </c>
      <c r="E31" s="14">
        <v>4139</v>
      </c>
      <c r="F31" s="14">
        <v>7341</v>
      </c>
      <c r="G31" s="14">
        <v>5620</v>
      </c>
      <c r="H31" s="14">
        <v>3455</v>
      </c>
      <c r="I31" s="14">
        <v>5933</v>
      </c>
      <c r="J31" s="14">
        <v>5021</v>
      </c>
      <c r="K31" s="14">
        <v>1622</v>
      </c>
      <c r="L31" s="14">
        <v>3901</v>
      </c>
      <c r="M31" s="14">
        <v>3587</v>
      </c>
      <c r="N31" s="15">
        <v>5360</v>
      </c>
    </row>
    <row r="32" spans="1:14" x14ac:dyDescent="0.25">
      <c r="A32" s="7" t="s">
        <v>62</v>
      </c>
      <c r="B32" s="8">
        <v>9</v>
      </c>
      <c r="C32" s="14">
        <v>5875</v>
      </c>
      <c r="D32" s="14">
        <v>7817</v>
      </c>
      <c r="E32" s="14">
        <v>1473</v>
      </c>
      <c r="F32" s="14">
        <v>5410</v>
      </c>
      <c r="G32" s="14">
        <v>4905</v>
      </c>
      <c r="H32" s="14">
        <v>3269</v>
      </c>
      <c r="I32" s="14">
        <v>7604</v>
      </c>
      <c r="J32" s="14">
        <v>5017</v>
      </c>
      <c r="K32" s="14">
        <v>2950</v>
      </c>
      <c r="L32" s="14">
        <v>7176</v>
      </c>
      <c r="M32" s="14">
        <v>1839</v>
      </c>
      <c r="N32" s="15">
        <v>3261</v>
      </c>
    </row>
    <row r="33" spans="1:14" x14ac:dyDescent="0.25">
      <c r="A33" s="7" t="s">
        <v>64</v>
      </c>
      <c r="B33" s="8">
        <v>13</v>
      </c>
      <c r="C33" s="14">
        <v>7075</v>
      </c>
      <c r="D33" s="14">
        <v>4024</v>
      </c>
      <c r="E33" s="14">
        <v>1903</v>
      </c>
      <c r="F33" s="14">
        <v>2174</v>
      </c>
      <c r="G33" s="14">
        <v>1260</v>
      </c>
      <c r="H33" s="14">
        <v>6013</v>
      </c>
      <c r="I33" s="14">
        <v>7256</v>
      </c>
      <c r="J33" s="14">
        <v>4933</v>
      </c>
      <c r="K33" s="14">
        <v>4989</v>
      </c>
      <c r="L33" s="14">
        <v>5055</v>
      </c>
      <c r="M33" s="14">
        <v>5527</v>
      </c>
      <c r="N33" s="15">
        <v>5977</v>
      </c>
    </row>
    <row r="34" spans="1:14" x14ac:dyDescent="0.25">
      <c r="A34" s="7" t="s">
        <v>74</v>
      </c>
      <c r="B34" s="8">
        <v>6</v>
      </c>
      <c r="C34" s="14">
        <v>3514</v>
      </c>
      <c r="D34" s="14">
        <v>2852</v>
      </c>
      <c r="E34" s="14">
        <v>7315</v>
      </c>
      <c r="F34" s="14">
        <v>4325</v>
      </c>
      <c r="G34" s="14">
        <v>4542</v>
      </c>
      <c r="H34" s="14">
        <v>2499</v>
      </c>
      <c r="I34" s="14">
        <v>7102</v>
      </c>
      <c r="J34" s="14">
        <v>4468</v>
      </c>
      <c r="K34" s="14">
        <v>7867</v>
      </c>
      <c r="L34" s="14">
        <v>6708</v>
      </c>
      <c r="M34" s="14">
        <v>2015</v>
      </c>
      <c r="N34" s="15">
        <v>7333</v>
      </c>
    </row>
    <row r="35" spans="1:14" x14ac:dyDescent="0.25">
      <c r="A35" s="7" t="s">
        <v>61</v>
      </c>
      <c r="B35" s="8">
        <v>10</v>
      </c>
      <c r="C35" s="14">
        <v>1930</v>
      </c>
      <c r="D35" s="14">
        <v>3379</v>
      </c>
      <c r="E35" s="14">
        <v>4054</v>
      </c>
      <c r="F35" s="14">
        <v>5213</v>
      </c>
      <c r="G35" s="14">
        <v>2158</v>
      </c>
      <c r="H35" s="14">
        <v>5780</v>
      </c>
      <c r="I35" s="14">
        <v>4123</v>
      </c>
      <c r="J35" s="14">
        <v>4239</v>
      </c>
      <c r="K35" s="14">
        <v>5659</v>
      </c>
      <c r="L35" s="14">
        <v>5278</v>
      </c>
      <c r="M35" s="14">
        <v>3033</v>
      </c>
      <c r="N35" s="15">
        <v>6348</v>
      </c>
    </row>
    <row r="36" spans="1:14" x14ac:dyDescent="0.25">
      <c r="A36" s="7" t="s">
        <v>105</v>
      </c>
      <c r="B36" s="8">
        <v>8</v>
      </c>
      <c r="C36" s="14">
        <v>2771</v>
      </c>
      <c r="D36" s="14">
        <v>5308</v>
      </c>
      <c r="E36" s="14">
        <v>3462</v>
      </c>
      <c r="F36" s="14">
        <v>3131</v>
      </c>
      <c r="G36" s="14">
        <v>2052</v>
      </c>
      <c r="H36" s="14">
        <v>1931</v>
      </c>
      <c r="I36" s="14">
        <v>4095</v>
      </c>
      <c r="J36" s="14">
        <v>2074</v>
      </c>
      <c r="K36" s="14">
        <v>5625</v>
      </c>
      <c r="L36" s="14">
        <v>1297</v>
      </c>
      <c r="M36" s="14">
        <v>3243</v>
      </c>
      <c r="N36" s="15">
        <v>6287</v>
      </c>
    </row>
    <row r="37" spans="1:14" x14ac:dyDescent="0.25">
      <c r="A37" s="7" t="s">
        <v>99</v>
      </c>
      <c r="B37" s="8">
        <v>12</v>
      </c>
      <c r="C37" s="14">
        <v>6354</v>
      </c>
      <c r="D37" s="14">
        <v>4486</v>
      </c>
      <c r="E37" s="14">
        <v>5574</v>
      </c>
      <c r="F37" s="14">
        <v>4780</v>
      </c>
      <c r="G37" s="14">
        <v>5277</v>
      </c>
      <c r="H37" s="14">
        <v>3420</v>
      </c>
      <c r="I37" s="14">
        <v>3320</v>
      </c>
      <c r="J37" s="14">
        <v>4147</v>
      </c>
      <c r="K37" s="14">
        <v>7323</v>
      </c>
      <c r="L37" s="14">
        <v>6700</v>
      </c>
      <c r="M37" s="14">
        <v>3954</v>
      </c>
      <c r="N37" s="15">
        <v>5012</v>
      </c>
    </row>
    <row r="38" spans="1:14" x14ac:dyDescent="0.25">
      <c r="A38" s="7" t="s">
        <v>92</v>
      </c>
      <c r="B38" s="8">
        <v>8</v>
      </c>
      <c r="C38" s="14">
        <v>2167</v>
      </c>
      <c r="D38" s="14">
        <v>4219</v>
      </c>
      <c r="E38" s="14">
        <v>1808</v>
      </c>
      <c r="F38" s="14">
        <v>3241</v>
      </c>
      <c r="G38" s="14">
        <v>6684</v>
      </c>
      <c r="H38" s="14">
        <v>3985</v>
      </c>
      <c r="I38" s="14">
        <v>6320</v>
      </c>
      <c r="J38" s="14">
        <v>2856</v>
      </c>
      <c r="K38" s="14">
        <v>1667</v>
      </c>
      <c r="L38" s="14">
        <v>1678</v>
      </c>
      <c r="M38" s="14">
        <v>5649</v>
      </c>
      <c r="N38" s="15">
        <v>5126</v>
      </c>
    </row>
    <row r="39" spans="1:14" x14ac:dyDescent="0.25">
      <c r="A39" s="7" t="s">
        <v>107</v>
      </c>
      <c r="B39" s="8">
        <v>8</v>
      </c>
      <c r="C39" s="14">
        <v>2339</v>
      </c>
      <c r="D39" s="14">
        <v>6162</v>
      </c>
      <c r="E39" s="14">
        <v>6992</v>
      </c>
      <c r="F39" s="14">
        <v>2570</v>
      </c>
      <c r="G39" s="14">
        <v>5496</v>
      </c>
      <c r="H39" s="14">
        <v>5970</v>
      </c>
      <c r="I39" s="14">
        <v>7804</v>
      </c>
      <c r="J39" s="14">
        <v>6993</v>
      </c>
      <c r="K39" s="14">
        <v>7353</v>
      </c>
      <c r="L39" s="14">
        <v>4174</v>
      </c>
      <c r="M39" s="14">
        <v>1907</v>
      </c>
      <c r="N39" s="15">
        <v>7261</v>
      </c>
    </row>
    <row r="40" spans="1:14" x14ac:dyDescent="0.25">
      <c r="A40" s="7" t="s">
        <v>83</v>
      </c>
      <c r="B40" s="8">
        <v>6</v>
      </c>
      <c r="C40" s="14">
        <v>5299</v>
      </c>
      <c r="D40" s="14">
        <v>2026</v>
      </c>
      <c r="E40" s="14">
        <v>1949</v>
      </c>
      <c r="F40" s="14">
        <v>5202</v>
      </c>
      <c r="G40" s="14">
        <v>2032</v>
      </c>
      <c r="H40" s="14">
        <v>4393</v>
      </c>
      <c r="I40" s="14">
        <v>7816</v>
      </c>
      <c r="J40" s="14">
        <v>7170</v>
      </c>
      <c r="K40" s="14">
        <v>3183</v>
      </c>
      <c r="L40" s="14">
        <v>5999</v>
      </c>
      <c r="M40" s="14">
        <v>6754</v>
      </c>
      <c r="N40" s="15">
        <v>3881</v>
      </c>
    </row>
    <row r="41" spans="1:14" x14ac:dyDescent="0.25">
      <c r="A41" s="7" t="s">
        <v>82</v>
      </c>
      <c r="B41" s="8">
        <v>12</v>
      </c>
      <c r="C41" s="14">
        <v>3314</v>
      </c>
      <c r="D41" s="14">
        <v>1316</v>
      </c>
      <c r="E41" s="14">
        <v>4139</v>
      </c>
      <c r="F41" s="14">
        <v>7341</v>
      </c>
      <c r="G41" s="14">
        <v>5620</v>
      </c>
      <c r="H41" s="14">
        <v>3455</v>
      </c>
      <c r="I41" s="14">
        <v>5933</v>
      </c>
      <c r="J41" s="14">
        <v>5021</v>
      </c>
      <c r="K41" s="14">
        <v>1622</v>
      </c>
      <c r="L41" s="14">
        <v>3901</v>
      </c>
      <c r="M41" s="14">
        <v>3587</v>
      </c>
      <c r="N41" s="15">
        <v>5360</v>
      </c>
    </row>
    <row r="42" spans="1:14" x14ac:dyDescent="0.25">
      <c r="A42" s="7" t="s">
        <v>70</v>
      </c>
      <c r="B42" s="8">
        <v>13</v>
      </c>
      <c r="C42" s="14">
        <v>4353</v>
      </c>
      <c r="D42" s="14">
        <v>4856</v>
      </c>
      <c r="E42" s="14">
        <v>2405</v>
      </c>
      <c r="F42" s="14">
        <v>5775</v>
      </c>
      <c r="G42" s="14">
        <v>5969</v>
      </c>
      <c r="H42" s="14">
        <v>5837</v>
      </c>
      <c r="I42" s="14">
        <v>3437</v>
      </c>
      <c r="J42" s="14">
        <v>4339</v>
      </c>
      <c r="K42" s="14">
        <v>2937</v>
      </c>
      <c r="L42" s="14">
        <v>6368</v>
      </c>
      <c r="M42" s="14">
        <v>6945</v>
      </c>
      <c r="N42" s="15">
        <v>3243</v>
      </c>
    </row>
    <row r="43" spans="1:14" x14ac:dyDescent="0.25">
      <c r="A43" s="7" t="s">
        <v>105</v>
      </c>
      <c r="B43" s="8">
        <v>8</v>
      </c>
      <c r="C43" s="14">
        <v>2771</v>
      </c>
      <c r="D43" s="14">
        <v>5308</v>
      </c>
      <c r="E43" s="14">
        <v>3462</v>
      </c>
      <c r="F43" s="14">
        <v>3131</v>
      </c>
      <c r="G43" s="14">
        <v>2052</v>
      </c>
      <c r="H43" s="14">
        <v>1931</v>
      </c>
      <c r="I43" s="14">
        <v>4095</v>
      </c>
      <c r="J43" s="14">
        <v>2074</v>
      </c>
      <c r="K43" s="14">
        <v>5625</v>
      </c>
      <c r="L43" s="14">
        <v>1297</v>
      </c>
      <c r="M43" s="14">
        <v>3243</v>
      </c>
      <c r="N43" s="15">
        <v>6287</v>
      </c>
    </row>
    <row r="44" spans="1:14" x14ac:dyDescent="0.25">
      <c r="A44" s="7" t="s">
        <v>98</v>
      </c>
      <c r="B44" s="8">
        <v>13</v>
      </c>
      <c r="C44" s="14">
        <v>5003</v>
      </c>
      <c r="D44" s="14">
        <v>3328</v>
      </c>
      <c r="E44" s="14">
        <v>3283</v>
      </c>
      <c r="F44" s="14">
        <v>7418</v>
      </c>
      <c r="G44" s="14">
        <v>7821</v>
      </c>
      <c r="H44" s="14">
        <v>7572</v>
      </c>
      <c r="I44" s="14">
        <v>2663</v>
      </c>
      <c r="J44" s="14">
        <v>3475</v>
      </c>
      <c r="K44" s="14">
        <v>4096</v>
      </c>
      <c r="L44" s="14">
        <v>5733</v>
      </c>
      <c r="M44" s="14">
        <v>2622</v>
      </c>
      <c r="N44" s="15">
        <v>4516</v>
      </c>
    </row>
    <row r="45" spans="1:14" x14ac:dyDescent="0.25">
      <c r="A45" s="7" t="s">
        <v>78</v>
      </c>
      <c r="B45" s="8">
        <v>13</v>
      </c>
      <c r="C45" s="14">
        <v>6666</v>
      </c>
      <c r="D45" s="14">
        <v>7087</v>
      </c>
      <c r="E45" s="14">
        <v>4021</v>
      </c>
      <c r="F45" s="14">
        <v>6308</v>
      </c>
      <c r="G45" s="14">
        <v>4701</v>
      </c>
      <c r="H45" s="14">
        <v>6614</v>
      </c>
      <c r="I45" s="14">
        <v>6087</v>
      </c>
      <c r="J45" s="14">
        <v>1930</v>
      </c>
      <c r="K45" s="14">
        <v>7254</v>
      </c>
      <c r="L45" s="14">
        <v>2136</v>
      </c>
      <c r="M45" s="14">
        <v>3565</v>
      </c>
      <c r="N45" s="15">
        <v>4882</v>
      </c>
    </row>
    <row r="46" spans="1:14" x14ac:dyDescent="0.25">
      <c r="A46" s="7" t="s">
        <v>85</v>
      </c>
      <c r="B46" s="8">
        <v>11</v>
      </c>
      <c r="C46" s="14">
        <v>6441</v>
      </c>
      <c r="D46" s="14">
        <v>6947</v>
      </c>
      <c r="E46" s="14">
        <v>7740</v>
      </c>
      <c r="F46" s="14">
        <v>7545</v>
      </c>
      <c r="G46" s="14">
        <v>5519</v>
      </c>
      <c r="H46" s="14">
        <v>5627</v>
      </c>
      <c r="I46" s="14">
        <v>3442</v>
      </c>
      <c r="J46" s="14">
        <v>1628</v>
      </c>
      <c r="K46" s="14">
        <v>3115</v>
      </c>
      <c r="L46" s="14">
        <v>6007</v>
      </c>
      <c r="M46" s="14">
        <v>2535</v>
      </c>
      <c r="N46" s="15">
        <v>4291</v>
      </c>
    </row>
    <row r="47" spans="1:14" x14ac:dyDescent="0.25">
      <c r="A47" s="7" t="s">
        <v>85</v>
      </c>
      <c r="B47" s="8">
        <v>11</v>
      </c>
      <c r="C47" s="14">
        <v>6441</v>
      </c>
      <c r="D47" s="14">
        <v>6947</v>
      </c>
      <c r="E47" s="14">
        <v>7740</v>
      </c>
      <c r="F47" s="14">
        <v>7545</v>
      </c>
      <c r="G47" s="14">
        <v>5519</v>
      </c>
      <c r="H47" s="14">
        <v>5627</v>
      </c>
      <c r="I47" s="14">
        <v>3442</v>
      </c>
      <c r="J47" s="14">
        <v>1628</v>
      </c>
      <c r="K47" s="14">
        <v>3115</v>
      </c>
      <c r="L47" s="14">
        <v>6007</v>
      </c>
      <c r="M47" s="14">
        <v>2535</v>
      </c>
      <c r="N47" s="15">
        <v>4291</v>
      </c>
    </row>
    <row r="48" spans="1:14" x14ac:dyDescent="0.25">
      <c r="A48" s="7" t="s">
        <v>66</v>
      </c>
      <c r="B48" s="8">
        <v>9</v>
      </c>
      <c r="C48" s="14">
        <v>2016</v>
      </c>
      <c r="D48" s="14">
        <v>5422</v>
      </c>
      <c r="E48" s="14">
        <v>4353</v>
      </c>
      <c r="F48" s="14">
        <v>6058</v>
      </c>
      <c r="G48" s="14">
        <v>3260</v>
      </c>
      <c r="H48" s="14">
        <v>4929</v>
      </c>
      <c r="I48" s="14">
        <v>5471</v>
      </c>
      <c r="J48" s="14">
        <v>3822</v>
      </c>
      <c r="K48" s="14">
        <v>6630</v>
      </c>
      <c r="L48" s="14">
        <v>5498</v>
      </c>
      <c r="M48" s="14">
        <v>2013</v>
      </c>
      <c r="N48" s="15">
        <v>4843</v>
      </c>
    </row>
    <row r="49" spans="1:14" x14ac:dyDescent="0.25">
      <c r="A49" s="7" t="s">
        <v>104</v>
      </c>
      <c r="B49" s="8">
        <v>8</v>
      </c>
      <c r="C49" s="14">
        <v>6240</v>
      </c>
      <c r="D49" s="14">
        <v>2654</v>
      </c>
      <c r="E49" s="14">
        <v>4013</v>
      </c>
      <c r="F49" s="14">
        <v>4062</v>
      </c>
      <c r="G49" s="14">
        <v>6319</v>
      </c>
      <c r="H49" s="14">
        <v>3638</v>
      </c>
      <c r="I49" s="14">
        <v>2302</v>
      </c>
      <c r="J49" s="14">
        <v>3423</v>
      </c>
      <c r="K49" s="14">
        <v>6857</v>
      </c>
      <c r="L49" s="14">
        <v>1864</v>
      </c>
      <c r="M49" s="14">
        <v>3124</v>
      </c>
      <c r="N49" s="15">
        <v>6567</v>
      </c>
    </row>
    <row r="50" spans="1:14" x14ac:dyDescent="0.25">
      <c r="A50" s="7" t="s">
        <v>71</v>
      </c>
      <c r="B50" s="8">
        <v>10</v>
      </c>
      <c r="C50" s="14">
        <v>3112</v>
      </c>
      <c r="D50" s="14">
        <v>2334</v>
      </c>
      <c r="E50" s="14">
        <v>1855</v>
      </c>
      <c r="F50" s="14">
        <v>7298</v>
      </c>
      <c r="G50" s="14">
        <v>7252</v>
      </c>
      <c r="H50" s="14">
        <v>1529</v>
      </c>
      <c r="I50" s="14">
        <v>6586</v>
      </c>
      <c r="J50" s="14">
        <v>4470</v>
      </c>
      <c r="K50" s="14">
        <v>3119</v>
      </c>
      <c r="L50" s="14">
        <v>7068</v>
      </c>
      <c r="M50" s="14">
        <v>7760</v>
      </c>
      <c r="N50" s="15">
        <v>4063</v>
      </c>
    </row>
    <row r="51" spans="1:14" x14ac:dyDescent="0.25">
      <c r="A51" s="7" t="s">
        <v>88</v>
      </c>
      <c r="B51" s="8">
        <v>12</v>
      </c>
      <c r="C51" s="14">
        <v>4636</v>
      </c>
      <c r="D51" s="14">
        <v>7526</v>
      </c>
      <c r="E51" s="14">
        <v>4582</v>
      </c>
      <c r="F51" s="14">
        <v>7864</v>
      </c>
      <c r="G51" s="14">
        <v>3867</v>
      </c>
      <c r="H51" s="14">
        <v>5078</v>
      </c>
      <c r="I51" s="14">
        <v>3895</v>
      </c>
      <c r="J51" s="14">
        <v>6492</v>
      </c>
      <c r="K51" s="14">
        <v>2761</v>
      </c>
      <c r="L51" s="14">
        <v>7094</v>
      </c>
      <c r="M51" s="14">
        <v>3166</v>
      </c>
      <c r="N51" s="15">
        <v>4752</v>
      </c>
    </row>
    <row r="52" spans="1:14" x14ac:dyDescent="0.25">
      <c r="A52" s="7" t="s">
        <v>77</v>
      </c>
      <c r="B52" s="8">
        <v>8</v>
      </c>
      <c r="C52" s="14">
        <v>7440</v>
      </c>
      <c r="D52" s="14">
        <v>5883</v>
      </c>
      <c r="E52" s="14">
        <v>7862</v>
      </c>
      <c r="F52" s="14">
        <v>5280</v>
      </c>
      <c r="G52" s="14">
        <v>1364</v>
      </c>
      <c r="H52" s="14">
        <v>6876</v>
      </c>
      <c r="I52" s="14">
        <v>2823</v>
      </c>
      <c r="J52" s="14">
        <v>4306</v>
      </c>
      <c r="K52" s="14">
        <v>1252</v>
      </c>
      <c r="L52" s="14">
        <v>3362</v>
      </c>
      <c r="M52" s="14">
        <v>7817</v>
      </c>
      <c r="N52" s="15">
        <v>6898</v>
      </c>
    </row>
    <row r="53" spans="1:14" x14ac:dyDescent="0.25">
      <c r="A53" s="7" t="s">
        <v>66</v>
      </c>
      <c r="B53" s="8">
        <v>9</v>
      </c>
      <c r="C53" s="14">
        <v>2016</v>
      </c>
      <c r="D53" s="14">
        <v>5422</v>
      </c>
      <c r="E53" s="14">
        <v>4353</v>
      </c>
      <c r="F53" s="14">
        <v>6058</v>
      </c>
      <c r="G53" s="14">
        <v>3260</v>
      </c>
      <c r="H53" s="14">
        <v>4929</v>
      </c>
      <c r="I53" s="14">
        <v>5471</v>
      </c>
      <c r="J53" s="14">
        <v>3822</v>
      </c>
      <c r="K53" s="14">
        <v>6630</v>
      </c>
      <c r="L53" s="14">
        <v>5498</v>
      </c>
      <c r="M53" s="14">
        <v>2013</v>
      </c>
      <c r="N53" s="15">
        <v>4843</v>
      </c>
    </row>
    <row r="54" spans="1:14" x14ac:dyDescent="0.25">
      <c r="A54" s="7" t="s">
        <v>65</v>
      </c>
      <c r="B54" s="8">
        <v>7</v>
      </c>
      <c r="C54" s="14">
        <v>4165</v>
      </c>
      <c r="D54" s="14">
        <v>5598</v>
      </c>
      <c r="E54" s="14">
        <v>7268</v>
      </c>
      <c r="F54" s="14">
        <v>2314</v>
      </c>
      <c r="G54" s="14">
        <v>2865</v>
      </c>
      <c r="H54" s="14">
        <v>7528</v>
      </c>
      <c r="I54" s="14">
        <v>1565</v>
      </c>
      <c r="J54" s="14">
        <v>4128</v>
      </c>
      <c r="K54" s="14">
        <v>3663</v>
      </c>
      <c r="L54" s="14">
        <v>6401</v>
      </c>
      <c r="M54" s="14">
        <v>3494</v>
      </c>
      <c r="N54" s="15">
        <v>2126</v>
      </c>
    </row>
    <row r="55" spans="1:14" x14ac:dyDescent="0.25">
      <c r="A55" s="7" t="s">
        <v>72</v>
      </c>
      <c r="B55" s="8">
        <v>7</v>
      </c>
      <c r="C55" s="14">
        <v>6562</v>
      </c>
      <c r="D55" s="14">
        <v>4847</v>
      </c>
      <c r="E55" s="14">
        <v>2128</v>
      </c>
      <c r="F55" s="14">
        <v>5489</v>
      </c>
      <c r="G55" s="14">
        <v>3341</v>
      </c>
      <c r="H55" s="14">
        <v>1677</v>
      </c>
      <c r="I55" s="14">
        <v>5836</v>
      </c>
      <c r="J55" s="14">
        <v>4212</v>
      </c>
      <c r="K55" s="14">
        <v>4551</v>
      </c>
      <c r="L55" s="14">
        <v>2263</v>
      </c>
      <c r="M55" s="14">
        <v>7478</v>
      </c>
      <c r="N55" s="15">
        <v>3979</v>
      </c>
    </row>
    <row r="56" spans="1:14" x14ac:dyDescent="0.25">
      <c r="A56" s="7" t="s">
        <v>89</v>
      </c>
      <c r="B56" s="8">
        <v>6</v>
      </c>
      <c r="C56" s="14">
        <v>3174</v>
      </c>
      <c r="D56" s="14">
        <v>4665</v>
      </c>
      <c r="E56" s="14">
        <v>3612</v>
      </c>
      <c r="F56" s="14">
        <v>5138</v>
      </c>
      <c r="G56" s="14">
        <v>5459</v>
      </c>
      <c r="H56" s="14">
        <v>4305</v>
      </c>
      <c r="I56" s="14">
        <v>3144</v>
      </c>
      <c r="J56" s="14">
        <v>6973</v>
      </c>
      <c r="K56" s="14">
        <v>7680</v>
      </c>
      <c r="L56" s="14">
        <v>2797</v>
      </c>
      <c r="M56" s="14">
        <v>7184</v>
      </c>
      <c r="N56" s="15">
        <v>7595</v>
      </c>
    </row>
    <row r="57" spans="1:14" x14ac:dyDescent="0.25">
      <c r="A57" s="7" t="s">
        <v>60</v>
      </c>
      <c r="B57" s="8">
        <v>13</v>
      </c>
      <c r="C57" s="14">
        <v>7270</v>
      </c>
      <c r="D57" s="14">
        <v>2768</v>
      </c>
      <c r="E57" s="14">
        <v>1831</v>
      </c>
      <c r="F57" s="14">
        <v>3792</v>
      </c>
      <c r="G57" s="14">
        <v>1989</v>
      </c>
      <c r="H57" s="14">
        <v>4857</v>
      </c>
      <c r="I57" s="14">
        <v>3700</v>
      </c>
      <c r="J57" s="14">
        <v>6678</v>
      </c>
      <c r="K57" s="14">
        <v>4809</v>
      </c>
      <c r="L57" s="14">
        <v>7044</v>
      </c>
      <c r="M57" s="14">
        <v>1428</v>
      </c>
      <c r="N57" s="15">
        <v>5760</v>
      </c>
    </row>
    <row r="58" spans="1:14" x14ac:dyDescent="0.25">
      <c r="A58" s="7" t="s">
        <v>102</v>
      </c>
      <c r="B58" s="8">
        <v>12</v>
      </c>
      <c r="C58" s="14">
        <v>2152</v>
      </c>
      <c r="D58" s="14">
        <v>3100</v>
      </c>
      <c r="E58" s="14">
        <v>4095</v>
      </c>
      <c r="F58" s="14">
        <v>5418</v>
      </c>
      <c r="G58" s="14">
        <v>7228</v>
      </c>
      <c r="H58" s="14">
        <v>7331</v>
      </c>
      <c r="I58" s="14">
        <v>4397</v>
      </c>
      <c r="J58" s="14">
        <v>7618</v>
      </c>
      <c r="K58" s="14">
        <v>7153</v>
      </c>
      <c r="L58" s="14">
        <v>6734</v>
      </c>
      <c r="M58" s="14">
        <v>5347</v>
      </c>
      <c r="N58" s="15">
        <v>7220</v>
      </c>
    </row>
    <row r="59" spans="1:14" x14ac:dyDescent="0.25">
      <c r="A59" s="7" t="s">
        <v>103</v>
      </c>
      <c r="B59" s="8">
        <v>6</v>
      </c>
      <c r="C59" s="14">
        <v>4209</v>
      </c>
      <c r="D59" s="14">
        <v>7300</v>
      </c>
      <c r="E59" s="14">
        <v>1630</v>
      </c>
      <c r="F59" s="14">
        <v>7445</v>
      </c>
      <c r="G59" s="14">
        <v>5794</v>
      </c>
      <c r="H59" s="14">
        <v>6447</v>
      </c>
      <c r="I59" s="14">
        <v>4291</v>
      </c>
      <c r="J59" s="14">
        <v>5366</v>
      </c>
      <c r="K59" s="14">
        <v>1257</v>
      </c>
      <c r="L59" s="14">
        <v>3548</v>
      </c>
      <c r="M59" s="14">
        <v>1980</v>
      </c>
      <c r="N59" s="15">
        <v>7836</v>
      </c>
    </row>
    <row r="60" spans="1:14" x14ac:dyDescent="0.25">
      <c r="A60" s="7" t="s">
        <v>77</v>
      </c>
      <c r="B60" s="8">
        <v>8</v>
      </c>
      <c r="C60" s="14">
        <v>7440</v>
      </c>
      <c r="D60" s="14">
        <v>5883</v>
      </c>
      <c r="E60" s="14">
        <v>7862</v>
      </c>
      <c r="F60" s="14">
        <v>5280</v>
      </c>
      <c r="G60" s="14">
        <v>1364</v>
      </c>
      <c r="H60" s="14">
        <v>6876</v>
      </c>
      <c r="I60" s="14">
        <v>2823</v>
      </c>
      <c r="J60" s="14">
        <v>4306</v>
      </c>
      <c r="K60" s="14">
        <v>1252</v>
      </c>
      <c r="L60" s="14">
        <v>3362</v>
      </c>
      <c r="M60" s="14">
        <v>7817</v>
      </c>
      <c r="N60" s="15">
        <v>6898</v>
      </c>
    </row>
    <row r="61" spans="1:14" x14ac:dyDescent="0.25">
      <c r="A61" s="7" t="s">
        <v>66</v>
      </c>
      <c r="B61" s="8">
        <v>9</v>
      </c>
      <c r="C61" s="14">
        <v>2016</v>
      </c>
      <c r="D61" s="14">
        <v>5422</v>
      </c>
      <c r="E61" s="14">
        <v>4353</v>
      </c>
      <c r="F61" s="14">
        <v>6058</v>
      </c>
      <c r="G61" s="14">
        <v>3260</v>
      </c>
      <c r="H61" s="14">
        <v>4929</v>
      </c>
      <c r="I61" s="14">
        <v>5471</v>
      </c>
      <c r="J61" s="14">
        <v>3822</v>
      </c>
      <c r="K61" s="14">
        <v>6630</v>
      </c>
      <c r="L61" s="14">
        <v>5498</v>
      </c>
      <c r="M61" s="14">
        <v>2013</v>
      </c>
      <c r="N61" s="15">
        <v>4843</v>
      </c>
    </row>
    <row r="62" spans="1:14" x14ac:dyDescent="0.25">
      <c r="A62" s="7" t="s">
        <v>96</v>
      </c>
      <c r="B62" s="8">
        <v>5</v>
      </c>
      <c r="C62" s="14">
        <v>2830</v>
      </c>
      <c r="D62" s="14">
        <v>7474</v>
      </c>
      <c r="E62" s="14">
        <v>2083</v>
      </c>
      <c r="F62" s="14">
        <v>4402</v>
      </c>
      <c r="G62" s="14">
        <v>5961</v>
      </c>
      <c r="H62" s="14">
        <v>3257</v>
      </c>
      <c r="I62" s="14">
        <v>6163</v>
      </c>
      <c r="J62" s="14">
        <v>7150</v>
      </c>
      <c r="K62" s="14">
        <v>6414</v>
      </c>
      <c r="L62" s="14">
        <v>4425</v>
      </c>
      <c r="M62" s="14">
        <v>2826</v>
      </c>
      <c r="N62" s="15">
        <v>6549</v>
      </c>
    </row>
    <row r="63" spans="1:14" x14ac:dyDescent="0.25">
      <c r="A63" s="7" t="s">
        <v>101</v>
      </c>
      <c r="B63" s="8">
        <v>6</v>
      </c>
      <c r="C63" s="14">
        <v>7215</v>
      </c>
      <c r="D63" s="14">
        <v>5350</v>
      </c>
      <c r="E63" s="14">
        <v>3985</v>
      </c>
      <c r="F63" s="14">
        <v>5503</v>
      </c>
      <c r="G63" s="14">
        <v>3232</v>
      </c>
      <c r="H63" s="14">
        <v>1238</v>
      </c>
      <c r="I63" s="14">
        <v>5461</v>
      </c>
      <c r="J63" s="14">
        <v>6082</v>
      </c>
      <c r="K63" s="14">
        <v>5679</v>
      </c>
      <c r="L63" s="14">
        <v>1838</v>
      </c>
      <c r="M63" s="14">
        <v>2552</v>
      </c>
      <c r="N63" s="15">
        <v>5811</v>
      </c>
    </row>
    <row r="64" spans="1:14" x14ac:dyDescent="0.25">
      <c r="A64" s="7" t="s">
        <v>69</v>
      </c>
      <c r="B64" s="8">
        <v>13</v>
      </c>
      <c r="C64" s="14">
        <v>1821</v>
      </c>
      <c r="D64" s="14">
        <v>3391</v>
      </c>
      <c r="E64" s="14">
        <v>3599</v>
      </c>
      <c r="F64" s="14">
        <v>2184</v>
      </c>
      <c r="G64" s="14">
        <v>4650</v>
      </c>
      <c r="H64" s="14">
        <v>3581</v>
      </c>
      <c r="I64" s="14">
        <v>6818</v>
      </c>
      <c r="J64" s="14">
        <v>6015</v>
      </c>
      <c r="K64" s="14">
        <v>5459</v>
      </c>
      <c r="L64" s="14">
        <v>1943</v>
      </c>
      <c r="M64" s="14">
        <v>2434</v>
      </c>
      <c r="N64" s="15">
        <v>4425</v>
      </c>
    </row>
    <row r="65" spans="1:14" x14ac:dyDescent="0.25">
      <c r="A65" s="7" t="s">
        <v>68</v>
      </c>
      <c r="B65" s="8">
        <v>10</v>
      </c>
      <c r="C65" s="14">
        <v>2973</v>
      </c>
      <c r="D65" s="14">
        <v>3916</v>
      </c>
      <c r="E65" s="14">
        <v>7810</v>
      </c>
      <c r="F65" s="14">
        <v>5793</v>
      </c>
      <c r="G65" s="14">
        <v>6864</v>
      </c>
      <c r="H65" s="14">
        <v>6082</v>
      </c>
      <c r="I65" s="14">
        <v>3661</v>
      </c>
      <c r="J65" s="14">
        <v>7131</v>
      </c>
      <c r="K65" s="14">
        <v>4931</v>
      </c>
      <c r="L65" s="14">
        <v>4056</v>
      </c>
      <c r="M65" s="14">
        <v>4235</v>
      </c>
      <c r="N65" s="15">
        <v>6193</v>
      </c>
    </row>
    <row r="66" spans="1:14" x14ac:dyDescent="0.25">
      <c r="A66" s="7" t="s">
        <v>58</v>
      </c>
      <c r="B66" s="8">
        <v>11</v>
      </c>
      <c r="C66" s="14">
        <v>6777</v>
      </c>
      <c r="D66" s="14">
        <v>7006</v>
      </c>
      <c r="E66" s="14">
        <v>6274</v>
      </c>
      <c r="F66" s="14">
        <v>7714</v>
      </c>
      <c r="G66" s="14">
        <v>3308</v>
      </c>
      <c r="H66" s="14">
        <v>4675</v>
      </c>
      <c r="I66" s="14">
        <v>6581</v>
      </c>
      <c r="J66" s="14">
        <v>5146</v>
      </c>
      <c r="K66" s="14">
        <v>4156</v>
      </c>
      <c r="L66" s="14">
        <v>7837</v>
      </c>
      <c r="M66" s="14">
        <v>3790</v>
      </c>
      <c r="N66" s="15">
        <v>3150</v>
      </c>
    </row>
    <row r="67" spans="1:14" x14ac:dyDescent="0.25">
      <c r="A67" s="9" t="s">
        <v>100</v>
      </c>
      <c r="B67" s="10">
        <v>5</v>
      </c>
      <c r="C67" s="16">
        <v>4566</v>
      </c>
      <c r="D67" s="16">
        <v>6016</v>
      </c>
      <c r="E67" s="16">
        <v>6699</v>
      </c>
      <c r="F67" s="16">
        <v>7081</v>
      </c>
      <c r="G67" s="16">
        <v>4026</v>
      </c>
      <c r="H67" s="16">
        <v>3204</v>
      </c>
      <c r="I67" s="16">
        <v>4396</v>
      </c>
      <c r="J67" s="16">
        <v>5513</v>
      </c>
      <c r="K67" s="16">
        <v>5522</v>
      </c>
      <c r="L67" s="16">
        <v>2990</v>
      </c>
      <c r="M67" s="16">
        <v>2533</v>
      </c>
      <c r="N67" s="17">
        <v>4618</v>
      </c>
    </row>
    <row r="68" spans="1:14" ht="16.5" x14ac:dyDescent="0.25">
      <c r="A68"/>
    </row>
    <row r="69" spans="1:14" ht="16.5" x14ac:dyDescent="0.25">
      <c r="A69"/>
    </row>
    <row r="70" spans="1:14" ht="16.5" x14ac:dyDescent="0.25">
      <c r="A70"/>
    </row>
    <row r="71" spans="1:14" ht="16.5" x14ac:dyDescent="0.25">
      <c r="A71"/>
    </row>
    <row r="72" spans="1:14" ht="16.5" x14ac:dyDescent="0.25">
      <c r="A72"/>
    </row>
    <row r="73" spans="1:14" ht="16.5" x14ac:dyDescent="0.25">
      <c r="A73"/>
    </row>
    <row r="74" spans="1:14" ht="16.5" x14ac:dyDescent="0.25">
      <c r="A74"/>
    </row>
    <row r="75" spans="1:14" ht="16.5" x14ac:dyDescent="0.25">
      <c r="A75"/>
    </row>
    <row r="76" spans="1:14" ht="16.5" x14ac:dyDescent="0.25">
      <c r="A76"/>
    </row>
    <row r="77" spans="1:14" ht="16.5" x14ac:dyDescent="0.25">
      <c r="A77"/>
    </row>
    <row r="78" spans="1:14" ht="16.5" x14ac:dyDescent="0.25">
      <c r="A78"/>
    </row>
    <row r="79" spans="1:14" ht="16.5" x14ac:dyDescent="0.25">
      <c r="A79"/>
    </row>
    <row r="80" spans="1:14" ht="16.5" x14ac:dyDescent="0.25">
      <c r="A80"/>
    </row>
    <row r="81" spans="1:1" ht="16.5" x14ac:dyDescent="0.25">
      <c r="A8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BE7D-1CDA-49CA-B2F5-4E185F8E53A9}">
  <dimension ref="A1:K11"/>
  <sheetViews>
    <sheetView workbookViewId="0">
      <selection activeCell="B11" sqref="B11"/>
    </sheetView>
  </sheetViews>
  <sheetFormatPr defaultRowHeight="15" x14ac:dyDescent="0.25"/>
  <cols>
    <col min="1" max="1" width="23.5" style="28" customWidth="1"/>
    <col min="2" max="2" width="12.875" style="28" bestFit="1" customWidth="1"/>
    <col min="3" max="3" width="8.375" style="28" customWidth="1"/>
    <col min="4" max="4" width="11.25" style="28" bestFit="1" customWidth="1"/>
    <col min="5" max="5" width="8.375" style="28" customWidth="1"/>
    <col min="6" max="7" width="9" style="28"/>
    <col min="8" max="8" width="15.25" style="28" bestFit="1" customWidth="1"/>
    <col min="9" max="9" width="12.125" style="28" customWidth="1"/>
    <col min="10" max="10" width="12.625" style="28" customWidth="1"/>
    <col min="11" max="11" width="12.125" style="28" customWidth="1"/>
    <col min="12" max="16384" width="9" style="28"/>
  </cols>
  <sheetData>
    <row r="1" spans="1:11" ht="20.25" x14ac:dyDescent="0.25">
      <c r="A1" s="31" t="s">
        <v>185</v>
      </c>
      <c r="F1" s="27" t="s">
        <v>149</v>
      </c>
    </row>
    <row r="2" spans="1:11" ht="16.5" x14ac:dyDescent="0.25">
      <c r="F2" s="29" t="s">
        <v>150</v>
      </c>
    </row>
    <row r="3" spans="1:11" x14ac:dyDescent="0.25">
      <c r="A3" s="28" t="s">
        <v>178</v>
      </c>
      <c r="B3" s="28" t="s">
        <v>186</v>
      </c>
      <c r="F3" s="28" t="s">
        <v>151</v>
      </c>
      <c r="G3" s="28" t="s">
        <v>152</v>
      </c>
      <c r="H3" s="28" t="s">
        <v>153</v>
      </c>
      <c r="I3" s="28" t="s">
        <v>154</v>
      </c>
      <c r="J3" s="28" t="s">
        <v>155</v>
      </c>
      <c r="K3" s="28" t="s">
        <v>156</v>
      </c>
    </row>
    <row r="4" spans="1:11" x14ac:dyDescent="0.25">
      <c r="A4" s="28" t="s">
        <v>179</v>
      </c>
      <c r="B4" s="30">
        <f>INDEX(表格1_3[約略價格],MATCH(B3,表格1_3[型號],0))</f>
        <v>368600</v>
      </c>
      <c r="F4" s="28" t="s">
        <v>157</v>
      </c>
      <c r="G4" s="28" t="s">
        <v>158</v>
      </c>
      <c r="H4" s="28" t="s">
        <v>159</v>
      </c>
      <c r="I4" s="28" t="s">
        <v>160</v>
      </c>
      <c r="J4" s="30">
        <v>186500</v>
      </c>
      <c r="K4" s="28" t="s">
        <v>161</v>
      </c>
    </row>
    <row r="5" spans="1:11" x14ac:dyDescent="0.25">
      <c r="A5" s="35" t="s">
        <v>187</v>
      </c>
      <c r="B5" s="36">
        <v>0.8</v>
      </c>
      <c r="F5" s="28" t="s">
        <v>157</v>
      </c>
      <c r="G5" s="28" t="s">
        <v>162</v>
      </c>
      <c r="H5" s="28" t="s">
        <v>163</v>
      </c>
      <c r="I5" s="28" t="s">
        <v>164</v>
      </c>
      <c r="J5" s="30">
        <v>239800</v>
      </c>
      <c r="K5" s="28" t="s">
        <v>161</v>
      </c>
    </row>
    <row r="6" spans="1:11" x14ac:dyDescent="0.25">
      <c r="A6" s="32" t="s">
        <v>180</v>
      </c>
      <c r="B6" s="30">
        <f>B4*B5</f>
        <v>294880</v>
      </c>
      <c r="F6" s="28" t="s">
        <v>157</v>
      </c>
      <c r="G6" s="28" t="s">
        <v>165</v>
      </c>
      <c r="H6" s="28" t="s">
        <v>159</v>
      </c>
      <c r="I6" s="28" t="s">
        <v>160</v>
      </c>
      <c r="J6" s="30">
        <v>368600</v>
      </c>
      <c r="K6" s="28" t="s">
        <v>161</v>
      </c>
    </row>
    <row r="7" spans="1:11" x14ac:dyDescent="0.25">
      <c r="A7" s="28" t="s">
        <v>181</v>
      </c>
      <c r="B7" s="33">
        <v>4.82E-2</v>
      </c>
      <c r="F7" s="28" t="s">
        <v>157</v>
      </c>
      <c r="G7" s="28" t="s">
        <v>166</v>
      </c>
      <c r="H7" s="28" t="s">
        <v>159</v>
      </c>
      <c r="I7" s="28" t="s">
        <v>160</v>
      </c>
      <c r="J7" s="30">
        <v>389800</v>
      </c>
      <c r="K7" s="28" t="s">
        <v>167</v>
      </c>
    </row>
    <row r="8" spans="1:11" x14ac:dyDescent="0.25">
      <c r="A8" s="28" t="s">
        <v>183</v>
      </c>
      <c r="B8" s="30">
        <v>-5540</v>
      </c>
      <c r="F8" s="28" t="s">
        <v>168</v>
      </c>
      <c r="G8" s="28" t="s">
        <v>169</v>
      </c>
      <c r="H8" s="28" t="s">
        <v>170</v>
      </c>
      <c r="I8" s="28" t="s">
        <v>171</v>
      </c>
      <c r="J8" s="30">
        <v>328500</v>
      </c>
      <c r="K8" s="28" t="s">
        <v>172</v>
      </c>
    </row>
    <row r="9" spans="1:11" x14ac:dyDescent="0.25">
      <c r="A9" s="28" t="s">
        <v>184</v>
      </c>
      <c r="B9" s="28">
        <v>12</v>
      </c>
      <c r="D9" s="32"/>
      <c r="F9" s="28" t="s">
        <v>168</v>
      </c>
      <c r="G9" s="28" t="s">
        <v>173</v>
      </c>
      <c r="H9" s="28" t="s">
        <v>174</v>
      </c>
      <c r="I9" s="28" t="s">
        <v>171</v>
      </c>
      <c r="J9" s="30">
        <v>1059800</v>
      </c>
      <c r="K9" s="28" t="s">
        <v>175</v>
      </c>
    </row>
    <row r="10" spans="1:11" x14ac:dyDescent="0.25">
      <c r="F10" s="28" t="s">
        <v>168</v>
      </c>
      <c r="G10" s="28" t="s">
        <v>176</v>
      </c>
      <c r="H10" s="28" t="s">
        <v>174</v>
      </c>
      <c r="I10" s="28" t="s">
        <v>171</v>
      </c>
      <c r="J10" s="30">
        <v>2186000</v>
      </c>
      <c r="K10" s="28" t="s">
        <v>177</v>
      </c>
    </row>
    <row r="11" spans="1:11" x14ac:dyDescent="0.25">
      <c r="A11" s="32" t="s">
        <v>182</v>
      </c>
      <c r="B11" s="34"/>
      <c r="C11" s="32"/>
      <c r="D11" s="32"/>
    </row>
  </sheetData>
  <phoneticPr fontId="7" type="noConversion"/>
  <dataValidations count="1">
    <dataValidation type="list" allowBlank="1" showInputMessage="1" showErrorMessage="1" sqref="B3" xr:uid="{C64FC14E-A783-47B5-A51C-241B65DDC7A5}">
      <formula1>$G$4:$G$10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5AF0-B002-47D3-A864-604394821037}">
  <dimension ref="A1:R124"/>
  <sheetViews>
    <sheetView workbookViewId="0">
      <selection activeCell="I5" sqref="I5"/>
    </sheetView>
  </sheetViews>
  <sheetFormatPr defaultRowHeight="15" x14ac:dyDescent="0.25"/>
  <cols>
    <col min="1" max="1" width="11.25" style="3" customWidth="1"/>
    <col min="2" max="2" width="9" style="3"/>
    <col min="3" max="3" width="7.125" style="3" customWidth="1"/>
    <col min="4" max="4" width="15.375" style="3" bestFit="1" customWidth="1"/>
    <col min="5" max="5" width="7.375" style="3" bestFit="1" customWidth="1"/>
    <col min="6" max="6" width="9.25" style="3" bestFit="1" customWidth="1"/>
    <col min="7" max="7" width="7.375" style="3" bestFit="1" customWidth="1"/>
    <col min="8" max="8" width="10.625" style="3" bestFit="1" customWidth="1"/>
    <col min="9" max="10" width="9" style="3"/>
    <col min="11" max="11" width="12.375" style="3" bestFit="1" customWidth="1"/>
    <col min="12" max="12" width="11.625" style="3" customWidth="1"/>
    <col min="13" max="14" width="5.875" style="3" customWidth="1"/>
    <col min="15" max="15" width="29.5" style="3" bestFit="1" customWidth="1"/>
    <col min="16" max="16" width="9" style="3"/>
    <col min="17" max="18" width="10.625" style="3" customWidth="1"/>
    <col min="19" max="16384" width="9" style="3"/>
  </cols>
  <sheetData>
    <row r="1" spans="1:18" ht="24" x14ac:dyDescent="0.25">
      <c r="A1" s="39" t="s">
        <v>135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8" ht="18.75" x14ac:dyDescent="0.25">
      <c r="A2" s="40" t="s">
        <v>136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O2" s="20" t="s">
        <v>133</v>
      </c>
    </row>
    <row r="3" spans="1:18" x14ac:dyDescent="0.25">
      <c r="A3" s="21" t="s">
        <v>137</v>
      </c>
      <c r="B3" s="21" t="s">
        <v>57</v>
      </c>
      <c r="C3" s="21" t="s">
        <v>25</v>
      </c>
      <c r="D3" s="21" t="s">
        <v>24</v>
      </c>
      <c r="E3" s="21" t="s">
        <v>113</v>
      </c>
      <c r="F3" s="22" t="s">
        <v>18</v>
      </c>
      <c r="G3" s="22" t="s">
        <v>16</v>
      </c>
      <c r="H3" s="22" t="s">
        <v>17</v>
      </c>
      <c r="I3" s="22" t="s">
        <v>19</v>
      </c>
      <c r="J3" s="22" t="s">
        <v>20</v>
      </c>
      <c r="K3" s="22" t="s">
        <v>42</v>
      </c>
      <c r="L3" s="22" t="s">
        <v>43</v>
      </c>
      <c r="M3" s="4"/>
      <c r="O3" s="4" t="s">
        <v>134</v>
      </c>
      <c r="P3" s="19" t="s">
        <v>125</v>
      </c>
      <c r="Q3" s="4" t="s">
        <v>138</v>
      </c>
      <c r="R3" s="4" t="s">
        <v>139</v>
      </c>
    </row>
    <row r="4" spans="1:18" x14ac:dyDescent="0.25">
      <c r="A4" s="18">
        <v>44197</v>
      </c>
      <c r="B4" s="4" t="s">
        <v>115</v>
      </c>
      <c r="C4" s="1" t="s">
        <v>34</v>
      </c>
      <c r="D4" s="1" t="s">
        <v>4</v>
      </c>
      <c r="E4" s="3" t="s">
        <v>0</v>
      </c>
      <c r="F4" s="2">
        <v>624</v>
      </c>
      <c r="G4" s="1">
        <v>459</v>
      </c>
      <c r="H4" s="2">
        <f t="shared" ref="H4:H35" si="0">F4*G4</f>
        <v>286416</v>
      </c>
      <c r="I4" s="1">
        <v>933</v>
      </c>
      <c r="J4" s="2">
        <v>810</v>
      </c>
      <c r="K4" s="2">
        <f t="shared" ref="K4:K35" si="1">I4*J4</f>
        <v>755730</v>
      </c>
      <c r="L4" s="2">
        <f t="shared" ref="L4:L35" si="2">K4-H4</f>
        <v>469314</v>
      </c>
      <c r="O4" s="4" t="s">
        <v>129</v>
      </c>
    </row>
    <row r="5" spans="1:18" x14ac:dyDescent="0.25">
      <c r="A5" s="18">
        <v>44197</v>
      </c>
      <c r="B5" s="4" t="s">
        <v>120</v>
      </c>
      <c r="C5" s="1" t="s">
        <v>38</v>
      </c>
      <c r="D5" s="1" t="s">
        <v>12</v>
      </c>
      <c r="E5" s="3" t="s">
        <v>15</v>
      </c>
      <c r="F5" s="2">
        <v>45</v>
      </c>
      <c r="G5" s="1">
        <v>485</v>
      </c>
      <c r="H5" s="2">
        <f t="shared" si="0"/>
        <v>21825</v>
      </c>
      <c r="I5" s="1">
        <v>719</v>
      </c>
      <c r="J5" s="2">
        <v>75</v>
      </c>
      <c r="K5" s="2">
        <f t="shared" si="1"/>
        <v>53925</v>
      </c>
      <c r="L5" s="2">
        <f t="shared" si="2"/>
        <v>32100</v>
      </c>
      <c r="O5" s="4" t="s">
        <v>130</v>
      </c>
    </row>
    <row r="6" spans="1:18" x14ac:dyDescent="0.25">
      <c r="A6" s="18">
        <v>44197</v>
      </c>
      <c r="B6" s="4" t="s">
        <v>118</v>
      </c>
      <c r="C6" s="1" t="s">
        <v>28</v>
      </c>
      <c r="D6" s="1" t="s">
        <v>7</v>
      </c>
      <c r="E6" s="3" t="s">
        <v>5</v>
      </c>
      <c r="F6" s="2">
        <v>25</v>
      </c>
      <c r="G6" s="1">
        <v>304</v>
      </c>
      <c r="H6" s="2">
        <f t="shared" si="0"/>
        <v>7600</v>
      </c>
      <c r="I6" s="1">
        <v>256</v>
      </c>
      <c r="J6" s="2">
        <v>55</v>
      </c>
      <c r="K6" s="2">
        <f t="shared" si="1"/>
        <v>14080</v>
      </c>
      <c r="L6" s="2">
        <f t="shared" si="2"/>
        <v>6480</v>
      </c>
      <c r="O6" s="4" t="s">
        <v>131</v>
      </c>
    </row>
    <row r="7" spans="1:18" x14ac:dyDescent="0.25">
      <c r="A7" s="18">
        <v>44198</v>
      </c>
      <c r="B7" s="4" t="s">
        <v>115</v>
      </c>
      <c r="C7" s="1" t="s">
        <v>39</v>
      </c>
      <c r="D7" s="1" t="s">
        <v>13</v>
      </c>
      <c r="E7" s="3" t="s">
        <v>15</v>
      </c>
      <c r="F7" s="2">
        <v>58</v>
      </c>
      <c r="G7" s="1">
        <v>188</v>
      </c>
      <c r="H7" s="2">
        <f t="shared" si="0"/>
        <v>10904</v>
      </c>
      <c r="I7" s="1">
        <v>247</v>
      </c>
      <c r="J7" s="2">
        <v>120</v>
      </c>
      <c r="K7" s="2">
        <f t="shared" si="1"/>
        <v>29640</v>
      </c>
      <c r="L7" s="2">
        <f t="shared" si="2"/>
        <v>18736</v>
      </c>
      <c r="O7" s="4" t="s">
        <v>132</v>
      </c>
    </row>
    <row r="8" spans="1:18" x14ac:dyDescent="0.25">
      <c r="A8" s="18">
        <v>44199</v>
      </c>
      <c r="B8" s="4" t="s">
        <v>121</v>
      </c>
      <c r="C8" s="1" t="s">
        <v>29</v>
      </c>
      <c r="D8" s="1" t="s">
        <v>8</v>
      </c>
      <c r="E8" s="3" t="s">
        <v>5</v>
      </c>
      <c r="F8" s="2">
        <v>30</v>
      </c>
      <c r="G8" s="1">
        <v>338</v>
      </c>
      <c r="H8" s="2">
        <f t="shared" si="0"/>
        <v>10140</v>
      </c>
      <c r="I8" s="1">
        <v>533</v>
      </c>
      <c r="J8" s="2">
        <v>70</v>
      </c>
      <c r="K8" s="2">
        <f t="shared" si="1"/>
        <v>37310</v>
      </c>
      <c r="L8" s="2">
        <f t="shared" si="2"/>
        <v>27170</v>
      </c>
    </row>
    <row r="9" spans="1:18" x14ac:dyDescent="0.25">
      <c r="A9" s="18">
        <v>44201</v>
      </c>
      <c r="B9" s="4" t="s">
        <v>119</v>
      </c>
      <c r="C9" s="1" t="s">
        <v>40</v>
      </c>
      <c r="D9" s="1" t="s">
        <v>14</v>
      </c>
      <c r="E9" s="3" t="s">
        <v>15</v>
      </c>
      <c r="F9" s="2">
        <v>46</v>
      </c>
      <c r="G9" s="1">
        <v>303</v>
      </c>
      <c r="H9" s="2">
        <f t="shared" si="0"/>
        <v>13938</v>
      </c>
      <c r="I9" s="1">
        <v>469</v>
      </c>
      <c r="J9" s="2">
        <v>90</v>
      </c>
      <c r="K9" s="2">
        <f t="shared" si="1"/>
        <v>42210</v>
      </c>
      <c r="L9" s="2">
        <f t="shared" si="2"/>
        <v>28272</v>
      </c>
      <c r="O9" s="4" t="s">
        <v>126</v>
      </c>
    </row>
    <row r="10" spans="1:18" x14ac:dyDescent="0.25">
      <c r="A10" s="18">
        <v>44202</v>
      </c>
      <c r="B10" s="4" t="s">
        <v>116</v>
      </c>
      <c r="C10" s="1" t="s">
        <v>33</v>
      </c>
      <c r="D10" s="1" t="s">
        <v>3</v>
      </c>
      <c r="E10" s="3" t="s">
        <v>0</v>
      </c>
      <c r="F10" s="2">
        <v>485</v>
      </c>
      <c r="G10" s="1">
        <v>261</v>
      </c>
      <c r="H10" s="2">
        <f t="shared" si="0"/>
        <v>126585</v>
      </c>
      <c r="I10" s="1">
        <v>909</v>
      </c>
      <c r="J10" s="2">
        <v>885</v>
      </c>
      <c r="K10" s="2">
        <f t="shared" si="1"/>
        <v>804465</v>
      </c>
      <c r="L10" s="2">
        <f t="shared" si="2"/>
        <v>677880</v>
      </c>
      <c r="O10" s="4" t="s">
        <v>113</v>
      </c>
      <c r="P10" s="19" t="s">
        <v>124</v>
      </c>
      <c r="Q10" s="19" t="s">
        <v>123</v>
      </c>
      <c r="R10" s="19" t="s">
        <v>125</v>
      </c>
    </row>
    <row r="11" spans="1:18" x14ac:dyDescent="0.25">
      <c r="A11" s="18">
        <v>44205</v>
      </c>
      <c r="B11" s="4" t="s">
        <v>118</v>
      </c>
      <c r="C11" s="1" t="s">
        <v>32</v>
      </c>
      <c r="D11" s="1" t="s">
        <v>22</v>
      </c>
      <c r="E11" s="3" t="s">
        <v>0</v>
      </c>
      <c r="F11" s="2">
        <v>369</v>
      </c>
      <c r="G11" s="1">
        <v>288</v>
      </c>
      <c r="H11" s="2">
        <f t="shared" si="0"/>
        <v>106272</v>
      </c>
      <c r="I11" s="1">
        <v>798</v>
      </c>
      <c r="J11" s="2">
        <v>740</v>
      </c>
      <c r="K11" s="2">
        <f t="shared" si="1"/>
        <v>590520</v>
      </c>
      <c r="L11" s="2">
        <f t="shared" si="2"/>
        <v>484248</v>
      </c>
      <c r="O11" s="3" t="s">
        <v>0</v>
      </c>
      <c r="P11" s="3">
        <f>_xlfn.MINIFS(G:G,E:E,O11)</f>
        <v>162</v>
      </c>
      <c r="Q11" s="3">
        <f>_xlfn.MAXIFS(G:G,E:E,O11)</f>
        <v>864</v>
      </c>
      <c r="R11" s="3">
        <f>COUNTIF(E:E,O11)</f>
        <v>48</v>
      </c>
    </row>
    <row r="12" spans="1:18" x14ac:dyDescent="0.25">
      <c r="A12" s="18">
        <v>44205</v>
      </c>
      <c r="B12" s="4" t="s">
        <v>120</v>
      </c>
      <c r="C12" s="1" t="s">
        <v>33</v>
      </c>
      <c r="D12" s="1" t="s">
        <v>3</v>
      </c>
      <c r="E12" s="3" t="s">
        <v>0</v>
      </c>
      <c r="F12" s="2">
        <v>485</v>
      </c>
      <c r="G12" s="1">
        <v>324</v>
      </c>
      <c r="H12" s="2">
        <f t="shared" si="0"/>
        <v>157140</v>
      </c>
      <c r="I12" s="1">
        <v>489</v>
      </c>
      <c r="J12" s="2">
        <v>885</v>
      </c>
      <c r="K12" s="2">
        <f t="shared" si="1"/>
        <v>432765</v>
      </c>
      <c r="L12" s="2">
        <f t="shared" si="2"/>
        <v>275625</v>
      </c>
      <c r="O12" s="3" t="s">
        <v>15</v>
      </c>
      <c r="P12" s="3">
        <f>_xlfn.MINIFS(G:G,E:E,O12)</f>
        <v>143</v>
      </c>
      <c r="Q12" s="3">
        <f>_xlfn.MAXIFS(G:G,E:E,O12)</f>
        <v>529</v>
      </c>
      <c r="R12" s="3">
        <f>COUNTIF(E:E,O12)</f>
        <v>40</v>
      </c>
    </row>
    <row r="13" spans="1:18" x14ac:dyDescent="0.25">
      <c r="A13" s="18">
        <v>44205</v>
      </c>
      <c r="B13" s="4" t="s">
        <v>116</v>
      </c>
      <c r="C13" s="1" t="s">
        <v>37</v>
      </c>
      <c r="D13" s="1" t="s">
        <v>11</v>
      </c>
      <c r="E13" s="3" t="s">
        <v>15</v>
      </c>
      <c r="F13" s="2">
        <v>38</v>
      </c>
      <c r="G13" s="1">
        <v>430</v>
      </c>
      <c r="H13" s="2">
        <f t="shared" si="0"/>
        <v>16340</v>
      </c>
      <c r="I13" s="1">
        <v>448</v>
      </c>
      <c r="J13" s="2">
        <v>85</v>
      </c>
      <c r="K13" s="2">
        <f t="shared" si="1"/>
        <v>38080</v>
      </c>
      <c r="L13" s="2">
        <f t="shared" si="2"/>
        <v>21740</v>
      </c>
      <c r="O13" s="3" t="s">
        <v>5</v>
      </c>
      <c r="P13" s="3">
        <f>_xlfn.MINIFS(G:G,E:E,O13)</f>
        <v>180</v>
      </c>
      <c r="Q13" s="3">
        <f>_xlfn.MAXIFS(G:G,E:E,O13)</f>
        <v>516</v>
      </c>
      <c r="R13" s="3">
        <f>COUNTIF(E:E,O13)</f>
        <v>32</v>
      </c>
    </row>
    <row r="14" spans="1:18" ht="16.5" x14ac:dyDescent="0.25">
      <c r="A14" s="18">
        <v>44205</v>
      </c>
      <c r="B14" s="4" t="s">
        <v>121</v>
      </c>
      <c r="C14" s="1" t="s">
        <v>31</v>
      </c>
      <c r="D14" s="1" t="s">
        <v>10</v>
      </c>
      <c r="E14" s="3" t="s">
        <v>5</v>
      </c>
      <c r="F14" s="2">
        <v>42</v>
      </c>
      <c r="G14" s="1">
        <v>271</v>
      </c>
      <c r="H14" s="2">
        <f t="shared" si="0"/>
        <v>11382</v>
      </c>
      <c r="I14" s="1">
        <v>356</v>
      </c>
      <c r="J14" s="2">
        <v>95</v>
      </c>
      <c r="K14" s="2">
        <f t="shared" si="1"/>
        <v>33820</v>
      </c>
      <c r="L14" s="2">
        <f t="shared" si="2"/>
        <v>22438</v>
      </c>
      <c r="O14"/>
    </row>
    <row r="15" spans="1:18" x14ac:dyDescent="0.25">
      <c r="A15" s="18">
        <v>44206</v>
      </c>
      <c r="B15" s="4" t="s">
        <v>121</v>
      </c>
      <c r="C15" s="1" t="s">
        <v>27</v>
      </c>
      <c r="D15" s="1" t="s">
        <v>2</v>
      </c>
      <c r="E15" s="3" t="s">
        <v>0</v>
      </c>
      <c r="F15" s="2">
        <v>550</v>
      </c>
      <c r="G15" s="1">
        <v>607</v>
      </c>
      <c r="H15" s="2">
        <f t="shared" si="0"/>
        <v>333850</v>
      </c>
      <c r="I15" s="1">
        <v>1062</v>
      </c>
      <c r="J15" s="2">
        <v>950</v>
      </c>
      <c r="K15" s="2">
        <f t="shared" si="1"/>
        <v>1008900</v>
      </c>
      <c r="L15" s="2">
        <f t="shared" si="2"/>
        <v>675050</v>
      </c>
    </row>
    <row r="16" spans="1:18" x14ac:dyDescent="0.25">
      <c r="A16" s="18">
        <v>44207</v>
      </c>
      <c r="B16" s="4" t="s">
        <v>119</v>
      </c>
      <c r="C16" s="1" t="s">
        <v>29</v>
      </c>
      <c r="D16" s="1" t="s">
        <v>8</v>
      </c>
      <c r="E16" s="3" t="s">
        <v>5</v>
      </c>
      <c r="F16" s="2">
        <v>30</v>
      </c>
      <c r="G16" s="1">
        <v>394</v>
      </c>
      <c r="H16" s="2">
        <f t="shared" si="0"/>
        <v>11820</v>
      </c>
      <c r="I16" s="1">
        <v>656</v>
      </c>
      <c r="J16" s="2">
        <v>70</v>
      </c>
      <c r="K16" s="2">
        <f t="shared" si="1"/>
        <v>45920</v>
      </c>
      <c r="L16" s="2">
        <f t="shared" si="2"/>
        <v>34100</v>
      </c>
      <c r="O16" s="4" t="s">
        <v>127</v>
      </c>
    </row>
    <row r="17" spans="1:18" x14ac:dyDescent="0.25">
      <c r="A17" s="18">
        <v>44208</v>
      </c>
      <c r="B17" s="4" t="s">
        <v>117</v>
      </c>
      <c r="C17" s="1" t="s">
        <v>35</v>
      </c>
      <c r="D17" s="1" t="s">
        <v>6</v>
      </c>
      <c r="E17" s="3" t="s">
        <v>0</v>
      </c>
      <c r="F17" s="2">
        <v>518</v>
      </c>
      <c r="G17" s="1">
        <v>468</v>
      </c>
      <c r="H17" s="2">
        <f t="shared" si="0"/>
        <v>242424</v>
      </c>
      <c r="I17" s="1">
        <v>825</v>
      </c>
      <c r="J17" s="2">
        <v>850</v>
      </c>
      <c r="K17" s="2">
        <f t="shared" si="1"/>
        <v>701250</v>
      </c>
      <c r="L17" s="2">
        <f t="shared" si="2"/>
        <v>458826</v>
      </c>
      <c r="O17" s="4" t="s">
        <v>113</v>
      </c>
      <c r="P17" s="19" t="s">
        <v>124</v>
      </c>
      <c r="Q17" s="19" t="s">
        <v>123</v>
      </c>
      <c r="R17" s="19" t="s">
        <v>125</v>
      </c>
    </row>
    <row r="18" spans="1:18" x14ac:dyDescent="0.25">
      <c r="A18" s="18">
        <v>44208</v>
      </c>
      <c r="B18" s="4" t="s">
        <v>115</v>
      </c>
      <c r="C18" s="1" t="s">
        <v>31</v>
      </c>
      <c r="D18" s="1" t="s">
        <v>10</v>
      </c>
      <c r="E18" s="3" t="s">
        <v>5</v>
      </c>
      <c r="F18" s="2">
        <v>42</v>
      </c>
      <c r="G18" s="1">
        <v>189</v>
      </c>
      <c r="H18" s="2">
        <f t="shared" si="0"/>
        <v>7938</v>
      </c>
      <c r="I18" s="1">
        <v>308</v>
      </c>
      <c r="J18" s="2">
        <v>95</v>
      </c>
      <c r="K18" s="2">
        <f t="shared" si="1"/>
        <v>29260</v>
      </c>
      <c r="L18" s="2">
        <f t="shared" si="2"/>
        <v>21322</v>
      </c>
      <c r="O18" s="3" t="s">
        <v>0</v>
      </c>
      <c r="P18" s="3">
        <f>_xlfn.MINIFS(I:I,E:E,O18)</f>
        <v>366</v>
      </c>
      <c r="Q18" s="3">
        <f>_xlfn.MAXIFS(I:I,E:E,O18)</f>
        <v>1388</v>
      </c>
      <c r="R18" s="3">
        <f>COUNTIF(E:E,O18)</f>
        <v>48</v>
      </c>
    </row>
    <row r="19" spans="1:18" x14ac:dyDescent="0.25">
      <c r="A19" s="18">
        <v>44210</v>
      </c>
      <c r="B19" s="4" t="s">
        <v>120</v>
      </c>
      <c r="C19" s="1" t="s">
        <v>40</v>
      </c>
      <c r="D19" s="1" t="s">
        <v>14</v>
      </c>
      <c r="E19" s="3" t="s">
        <v>15</v>
      </c>
      <c r="F19" s="2">
        <v>46</v>
      </c>
      <c r="G19" s="1">
        <v>332</v>
      </c>
      <c r="H19" s="2">
        <f t="shared" si="0"/>
        <v>15272</v>
      </c>
      <c r="I19" s="1">
        <v>439</v>
      </c>
      <c r="J19" s="2">
        <v>90</v>
      </c>
      <c r="K19" s="2">
        <f t="shared" si="1"/>
        <v>39510</v>
      </c>
      <c r="L19" s="2">
        <f t="shared" si="2"/>
        <v>24238</v>
      </c>
      <c r="O19" s="3" t="s">
        <v>15</v>
      </c>
      <c r="P19" s="3">
        <f>_xlfn.MINIFS(I:I,E:E,O19)</f>
        <v>135</v>
      </c>
      <c r="Q19" s="3">
        <f>_xlfn.MAXIFS(I:I,E:E,O19)</f>
        <v>735</v>
      </c>
      <c r="R19" s="3">
        <f>COUNTIF(E:E,O19)</f>
        <v>40</v>
      </c>
    </row>
    <row r="20" spans="1:18" x14ac:dyDescent="0.25">
      <c r="A20" s="18">
        <v>44211</v>
      </c>
      <c r="B20" s="4" t="s">
        <v>114</v>
      </c>
      <c r="C20" s="1" t="s">
        <v>35</v>
      </c>
      <c r="D20" s="1" t="s">
        <v>6</v>
      </c>
      <c r="E20" s="3" t="s">
        <v>0</v>
      </c>
      <c r="F20" s="2">
        <v>518</v>
      </c>
      <c r="G20" s="1">
        <v>529</v>
      </c>
      <c r="H20" s="2">
        <f t="shared" si="0"/>
        <v>274022</v>
      </c>
      <c r="I20" s="1">
        <v>1291</v>
      </c>
      <c r="J20" s="2">
        <v>850</v>
      </c>
      <c r="K20" s="2">
        <f t="shared" si="1"/>
        <v>1097350</v>
      </c>
      <c r="L20" s="2">
        <f t="shared" si="2"/>
        <v>823328</v>
      </c>
      <c r="O20" s="3" t="s">
        <v>5</v>
      </c>
      <c r="P20" s="3">
        <f>_xlfn.MINIFS(I:I,E:E,O20)</f>
        <v>176</v>
      </c>
      <c r="Q20" s="3">
        <f>_xlfn.MAXIFS(I:I,E:E,O20)</f>
        <v>786</v>
      </c>
      <c r="R20" s="3">
        <f>COUNTIF(E:E,O20)</f>
        <v>32</v>
      </c>
    </row>
    <row r="21" spans="1:18" x14ac:dyDescent="0.25">
      <c r="A21" s="18">
        <v>44212</v>
      </c>
      <c r="B21" s="4" t="s">
        <v>114</v>
      </c>
      <c r="C21" s="1" t="s">
        <v>41</v>
      </c>
      <c r="D21" s="1" t="s">
        <v>36</v>
      </c>
      <c r="E21" s="3" t="s">
        <v>15</v>
      </c>
      <c r="F21" s="2">
        <v>42</v>
      </c>
      <c r="G21" s="1">
        <v>241</v>
      </c>
      <c r="H21" s="2">
        <f t="shared" si="0"/>
        <v>10122</v>
      </c>
      <c r="I21" s="1">
        <v>357</v>
      </c>
      <c r="J21" s="2">
        <v>85</v>
      </c>
      <c r="K21" s="2">
        <f t="shared" si="1"/>
        <v>30345</v>
      </c>
      <c r="L21" s="2">
        <f t="shared" si="2"/>
        <v>20223</v>
      </c>
    </row>
    <row r="22" spans="1:18" x14ac:dyDescent="0.25">
      <c r="A22" s="18">
        <v>44212</v>
      </c>
      <c r="B22" s="4" t="s">
        <v>120</v>
      </c>
      <c r="C22" s="1" t="s">
        <v>28</v>
      </c>
      <c r="D22" s="1" t="s">
        <v>7</v>
      </c>
      <c r="E22" s="3" t="s">
        <v>5</v>
      </c>
      <c r="F22" s="2">
        <v>25</v>
      </c>
      <c r="G22" s="1">
        <v>265</v>
      </c>
      <c r="H22" s="2">
        <f t="shared" si="0"/>
        <v>6625</v>
      </c>
      <c r="I22" s="1">
        <v>255</v>
      </c>
      <c r="J22" s="2">
        <v>55</v>
      </c>
      <c r="K22" s="2">
        <f t="shared" si="1"/>
        <v>14025</v>
      </c>
      <c r="L22" s="2">
        <f t="shared" si="2"/>
        <v>7400</v>
      </c>
    </row>
    <row r="23" spans="1:18" x14ac:dyDescent="0.25">
      <c r="A23" s="18">
        <v>44213</v>
      </c>
      <c r="B23" s="4" t="s">
        <v>115</v>
      </c>
      <c r="C23" s="1" t="s">
        <v>29</v>
      </c>
      <c r="D23" s="1" t="s">
        <v>8</v>
      </c>
      <c r="E23" s="3" t="s">
        <v>5</v>
      </c>
      <c r="F23" s="2">
        <v>30</v>
      </c>
      <c r="G23" s="1">
        <v>267</v>
      </c>
      <c r="H23" s="2">
        <f t="shared" si="0"/>
        <v>8010</v>
      </c>
      <c r="I23" s="1">
        <v>365</v>
      </c>
      <c r="J23" s="2">
        <v>70</v>
      </c>
      <c r="K23" s="2">
        <f t="shared" si="1"/>
        <v>25550</v>
      </c>
      <c r="L23" s="2">
        <f t="shared" si="2"/>
        <v>17540</v>
      </c>
    </row>
    <row r="24" spans="1:18" x14ac:dyDescent="0.25">
      <c r="A24" s="18">
        <v>44214</v>
      </c>
      <c r="B24" s="4" t="s">
        <v>119</v>
      </c>
      <c r="C24" s="1" t="s">
        <v>31</v>
      </c>
      <c r="D24" s="1" t="s">
        <v>10</v>
      </c>
      <c r="E24" s="3" t="s">
        <v>5</v>
      </c>
      <c r="F24" s="2">
        <v>42</v>
      </c>
      <c r="G24" s="1">
        <v>288</v>
      </c>
      <c r="H24" s="2">
        <f t="shared" si="0"/>
        <v>12096</v>
      </c>
      <c r="I24" s="1">
        <v>411</v>
      </c>
      <c r="J24" s="2">
        <v>95</v>
      </c>
      <c r="K24" s="2">
        <f t="shared" si="1"/>
        <v>39045</v>
      </c>
      <c r="L24" s="2">
        <f t="shared" si="2"/>
        <v>26949</v>
      </c>
    </row>
    <row r="25" spans="1:18" x14ac:dyDescent="0.25">
      <c r="A25" s="18">
        <v>44216</v>
      </c>
      <c r="B25" s="4" t="s">
        <v>120</v>
      </c>
      <c r="C25" s="1" t="s">
        <v>41</v>
      </c>
      <c r="D25" s="1" t="s">
        <v>36</v>
      </c>
      <c r="E25" s="3" t="s">
        <v>15</v>
      </c>
      <c r="F25" s="2">
        <v>42</v>
      </c>
      <c r="G25" s="1">
        <v>193</v>
      </c>
      <c r="H25" s="2">
        <f t="shared" si="0"/>
        <v>8106</v>
      </c>
      <c r="I25" s="1">
        <v>327</v>
      </c>
      <c r="J25" s="2">
        <v>85</v>
      </c>
      <c r="K25" s="2">
        <f t="shared" si="1"/>
        <v>27795</v>
      </c>
      <c r="L25" s="2">
        <f t="shared" si="2"/>
        <v>19689</v>
      </c>
    </row>
    <row r="26" spans="1:18" x14ac:dyDescent="0.25">
      <c r="A26" s="18">
        <v>44217</v>
      </c>
      <c r="B26" s="4" t="s">
        <v>116</v>
      </c>
      <c r="C26" s="1" t="s">
        <v>27</v>
      </c>
      <c r="D26" s="1" t="s">
        <v>2</v>
      </c>
      <c r="E26" s="3" t="s">
        <v>0</v>
      </c>
      <c r="F26" s="2">
        <v>550</v>
      </c>
      <c r="G26" s="1">
        <v>316</v>
      </c>
      <c r="H26" s="2">
        <f t="shared" si="0"/>
        <v>173800</v>
      </c>
      <c r="I26" s="1">
        <v>924</v>
      </c>
      <c r="J26" s="2">
        <v>950</v>
      </c>
      <c r="K26" s="2">
        <f t="shared" si="1"/>
        <v>877800</v>
      </c>
      <c r="L26" s="2">
        <f t="shared" si="2"/>
        <v>704000</v>
      </c>
    </row>
    <row r="27" spans="1:18" x14ac:dyDescent="0.25">
      <c r="A27" s="18">
        <v>44217</v>
      </c>
      <c r="B27" s="4" t="s">
        <v>117</v>
      </c>
      <c r="C27" s="1" t="s">
        <v>41</v>
      </c>
      <c r="D27" s="1" t="s">
        <v>36</v>
      </c>
      <c r="E27" s="3" t="s">
        <v>15</v>
      </c>
      <c r="F27" s="2">
        <v>42</v>
      </c>
      <c r="G27" s="1">
        <v>235</v>
      </c>
      <c r="H27" s="2">
        <f t="shared" si="0"/>
        <v>9870</v>
      </c>
      <c r="I27" s="1">
        <v>362</v>
      </c>
      <c r="J27" s="2">
        <v>85</v>
      </c>
      <c r="K27" s="2">
        <f t="shared" si="1"/>
        <v>30770</v>
      </c>
      <c r="L27" s="2">
        <f t="shared" si="2"/>
        <v>20900</v>
      </c>
    </row>
    <row r="28" spans="1:18" x14ac:dyDescent="0.25">
      <c r="A28" s="18">
        <v>44218</v>
      </c>
      <c r="B28" s="4" t="s">
        <v>119</v>
      </c>
      <c r="C28" s="1" t="s">
        <v>30</v>
      </c>
      <c r="D28" s="1" t="s">
        <v>9</v>
      </c>
      <c r="E28" s="3" t="s">
        <v>5</v>
      </c>
      <c r="F28" s="2">
        <v>28</v>
      </c>
      <c r="G28" s="1">
        <v>450</v>
      </c>
      <c r="H28" s="2">
        <f t="shared" si="0"/>
        <v>12600</v>
      </c>
      <c r="I28" s="1">
        <v>754</v>
      </c>
      <c r="J28" s="2">
        <v>65</v>
      </c>
      <c r="K28" s="2">
        <f t="shared" si="1"/>
        <v>49010</v>
      </c>
      <c r="L28" s="2">
        <f t="shared" si="2"/>
        <v>36410</v>
      </c>
    </row>
    <row r="29" spans="1:18" x14ac:dyDescent="0.25">
      <c r="A29" s="18">
        <v>44219</v>
      </c>
      <c r="B29" s="4" t="s">
        <v>121</v>
      </c>
      <c r="C29" s="1" t="s">
        <v>33</v>
      </c>
      <c r="D29" s="1" t="s">
        <v>3</v>
      </c>
      <c r="E29" s="3" t="s">
        <v>0</v>
      </c>
      <c r="F29" s="2">
        <v>485</v>
      </c>
      <c r="G29" s="1">
        <v>357</v>
      </c>
      <c r="H29" s="2">
        <f t="shared" si="0"/>
        <v>173145</v>
      </c>
      <c r="I29" s="1">
        <v>601</v>
      </c>
      <c r="J29" s="2">
        <v>885</v>
      </c>
      <c r="K29" s="2">
        <f t="shared" si="1"/>
        <v>531885</v>
      </c>
      <c r="L29" s="2">
        <f t="shared" si="2"/>
        <v>358740</v>
      </c>
    </row>
    <row r="30" spans="1:18" x14ac:dyDescent="0.25">
      <c r="A30" s="18">
        <v>44219</v>
      </c>
      <c r="B30" s="4" t="s">
        <v>115</v>
      </c>
      <c r="C30" s="1" t="s">
        <v>40</v>
      </c>
      <c r="D30" s="1" t="s">
        <v>14</v>
      </c>
      <c r="E30" s="3" t="s">
        <v>15</v>
      </c>
      <c r="F30" s="2">
        <v>46</v>
      </c>
      <c r="G30" s="1">
        <v>299</v>
      </c>
      <c r="H30" s="2">
        <f t="shared" si="0"/>
        <v>13754</v>
      </c>
      <c r="I30" s="1">
        <v>282</v>
      </c>
      <c r="J30" s="2">
        <v>90</v>
      </c>
      <c r="K30" s="2">
        <f t="shared" si="1"/>
        <v>25380</v>
      </c>
      <c r="L30" s="2">
        <f t="shared" si="2"/>
        <v>11626</v>
      </c>
    </row>
    <row r="31" spans="1:18" x14ac:dyDescent="0.25">
      <c r="A31" s="18">
        <v>44219</v>
      </c>
      <c r="B31" s="4" t="s">
        <v>118</v>
      </c>
      <c r="C31" s="1" t="s">
        <v>39</v>
      </c>
      <c r="D31" s="1" t="s">
        <v>13</v>
      </c>
      <c r="E31" s="3" t="s">
        <v>15</v>
      </c>
      <c r="F31" s="2">
        <v>58</v>
      </c>
      <c r="G31" s="1">
        <v>181</v>
      </c>
      <c r="H31" s="2">
        <f t="shared" si="0"/>
        <v>10498</v>
      </c>
      <c r="I31" s="1">
        <v>239</v>
      </c>
      <c r="J31" s="2">
        <v>120</v>
      </c>
      <c r="K31" s="2">
        <f t="shared" si="1"/>
        <v>28680</v>
      </c>
      <c r="L31" s="2">
        <f t="shared" si="2"/>
        <v>18182</v>
      </c>
    </row>
    <row r="32" spans="1:18" x14ac:dyDescent="0.25">
      <c r="A32" s="18">
        <v>44219</v>
      </c>
      <c r="B32" s="4" t="s">
        <v>115</v>
      </c>
      <c r="C32" s="1" t="s">
        <v>28</v>
      </c>
      <c r="D32" s="1" t="s">
        <v>7</v>
      </c>
      <c r="E32" s="3" t="s">
        <v>5</v>
      </c>
      <c r="F32" s="2">
        <v>25</v>
      </c>
      <c r="G32" s="1">
        <v>213</v>
      </c>
      <c r="H32" s="2">
        <f t="shared" si="0"/>
        <v>5325</v>
      </c>
      <c r="I32" s="1">
        <v>340</v>
      </c>
      <c r="J32" s="2">
        <v>55</v>
      </c>
      <c r="K32" s="2">
        <f t="shared" si="1"/>
        <v>18700</v>
      </c>
      <c r="L32" s="2">
        <f t="shared" si="2"/>
        <v>13375</v>
      </c>
    </row>
    <row r="33" spans="1:15" x14ac:dyDescent="0.25">
      <c r="A33" s="18">
        <v>44219</v>
      </c>
      <c r="B33" s="4" t="s">
        <v>114</v>
      </c>
      <c r="C33" s="1" t="s">
        <v>28</v>
      </c>
      <c r="D33" s="1" t="s">
        <v>7</v>
      </c>
      <c r="E33" s="3" t="s">
        <v>5</v>
      </c>
      <c r="F33" s="2">
        <v>25</v>
      </c>
      <c r="G33" s="1">
        <v>289</v>
      </c>
      <c r="H33" s="2">
        <f t="shared" si="0"/>
        <v>7225</v>
      </c>
      <c r="I33" s="1">
        <v>176</v>
      </c>
      <c r="J33" s="2">
        <v>55</v>
      </c>
      <c r="K33" s="2">
        <f t="shared" si="1"/>
        <v>9680</v>
      </c>
      <c r="L33" s="2">
        <f t="shared" si="2"/>
        <v>2455</v>
      </c>
    </row>
    <row r="34" spans="1:15" ht="16.5" x14ac:dyDescent="0.25">
      <c r="A34" s="18">
        <v>44220</v>
      </c>
      <c r="B34" s="4" t="s">
        <v>121</v>
      </c>
      <c r="C34" s="1" t="s">
        <v>39</v>
      </c>
      <c r="D34" s="1" t="s">
        <v>13</v>
      </c>
      <c r="E34" s="3" t="s">
        <v>15</v>
      </c>
      <c r="F34" s="2">
        <v>58</v>
      </c>
      <c r="G34" s="1">
        <v>235</v>
      </c>
      <c r="H34" s="2">
        <f t="shared" si="0"/>
        <v>13630</v>
      </c>
      <c r="I34" s="1">
        <v>398</v>
      </c>
      <c r="J34" s="2">
        <v>120</v>
      </c>
      <c r="K34" s="2">
        <f t="shared" si="1"/>
        <v>47760</v>
      </c>
      <c r="L34" s="2">
        <f t="shared" si="2"/>
        <v>34130</v>
      </c>
      <c r="O34"/>
    </row>
    <row r="35" spans="1:15" ht="16.5" x14ac:dyDescent="0.25">
      <c r="A35" s="18">
        <v>44221</v>
      </c>
      <c r="B35" s="4" t="s">
        <v>115</v>
      </c>
      <c r="C35" s="1" t="s">
        <v>35</v>
      </c>
      <c r="D35" s="1" t="s">
        <v>6</v>
      </c>
      <c r="E35" s="3" t="s">
        <v>0</v>
      </c>
      <c r="F35" s="2">
        <v>518</v>
      </c>
      <c r="G35" s="1">
        <v>488</v>
      </c>
      <c r="H35" s="2">
        <f t="shared" si="0"/>
        <v>252784</v>
      </c>
      <c r="I35" s="1">
        <v>724</v>
      </c>
      <c r="J35" s="2">
        <v>850</v>
      </c>
      <c r="K35" s="2">
        <f t="shared" si="1"/>
        <v>615400</v>
      </c>
      <c r="L35" s="2">
        <f t="shared" si="2"/>
        <v>362616</v>
      </c>
      <c r="O35"/>
    </row>
    <row r="36" spans="1:15" ht="16.5" x14ac:dyDescent="0.25">
      <c r="A36" s="18">
        <v>44221</v>
      </c>
      <c r="B36" s="4" t="s">
        <v>115</v>
      </c>
      <c r="C36" s="1" t="s">
        <v>26</v>
      </c>
      <c r="D36" s="1" t="s">
        <v>1</v>
      </c>
      <c r="E36" s="3" t="s">
        <v>0</v>
      </c>
      <c r="F36" s="2">
        <v>668</v>
      </c>
      <c r="G36" s="1">
        <v>326</v>
      </c>
      <c r="H36" s="2">
        <f t="shared" ref="H36:H67" si="3">F36*G36</f>
        <v>217768</v>
      </c>
      <c r="I36" s="1">
        <v>563</v>
      </c>
      <c r="J36" s="2">
        <v>870</v>
      </c>
      <c r="K36" s="2">
        <f t="shared" ref="K36:K67" si="4">I36*J36</f>
        <v>489810</v>
      </c>
      <c r="L36" s="2">
        <f t="shared" ref="L36:L67" si="5">K36-H36</f>
        <v>272042</v>
      </c>
      <c r="O36"/>
    </row>
    <row r="37" spans="1:15" ht="16.5" x14ac:dyDescent="0.25">
      <c r="A37" s="18">
        <v>44221</v>
      </c>
      <c r="B37" s="4" t="s">
        <v>119</v>
      </c>
      <c r="C37" s="1" t="s">
        <v>28</v>
      </c>
      <c r="D37" s="1" t="s">
        <v>7</v>
      </c>
      <c r="E37" s="3" t="s">
        <v>5</v>
      </c>
      <c r="F37" s="2">
        <v>25</v>
      </c>
      <c r="G37" s="1">
        <v>193</v>
      </c>
      <c r="H37" s="2">
        <f t="shared" si="3"/>
        <v>4825</v>
      </c>
      <c r="I37" s="1">
        <v>307</v>
      </c>
      <c r="J37" s="2">
        <v>55</v>
      </c>
      <c r="K37" s="2">
        <f t="shared" si="4"/>
        <v>16885</v>
      </c>
      <c r="L37" s="2">
        <f t="shared" si="5"/>
        <v>12060</v>
      </c>
      <c r="O37"/>
    </row>
    <row r="38" spans="1:15" ht="16.5" x14ac:dyDescent="0.25">
      <c r="A38" s="18">
        <v>44222</v>
      </c>
      <c r="B38" s="4" t="s">
        <v>115</v>
      </c>
      <c r="C38" s="1" t="s">
        <v>37</v>
      </c>
      <c r="D38" s="1" t="s">
        <v>11</v>
      </c>
      <c r="E38" s="3" t="s">
        <v>15</v>
      </c>
      <c r="F38" s="2">
        <v>38</v>
      </c>
      <c r="G38" s="1">
        <v>437</v>
      </c>
      <c r="H38" s="2">
        <f t="shared" si="3"/>
        <v>16606</v>
      </c>
      <c r="I38" s="1">
        <v>440</v>
      </c>
      <c r="J38" s="2">
        <v>85</v>
      </c>
      <c r="K38" s="2">
        <f t="shared" si="4"/>
        <v>37400</v>
      </c>
      <c r="L38" s="2">
        <f t="shared" si="5"/>
        <v>20794</v>
      </c>
      <c r="O38"/>
    </row>
    <row r="39" spans="1:15" ht="16.5" x14ac:dyDescent="0.25">
      <c r="A39" s="18">
        <v>44223</v>
      </c>
      <c r="B39" s="4" t="s">
        <v>121</v>
      </c>
      <c r="C39" s="1" t="s">
        <v>26</v>
      </c>
      <c r="D39" s="1" t="s">
        <v>1</v>
      </c>
      <c r="E39" s="3" t="s">
        <v>0</v>
      </c>
      <c r="F39" s="2">
        <v>668</v>
      </c>
      <c r="G39" s="1">
        <v>346</v>
      </c>
      <c r="H39" s="2">
        <f t="shared" si="3"/>
        <v>231128</v>
      </c>
      <c r="I39" s="1">
        <v>891</v>
      </c>
      <c r="J39" s="2">
        <v>870</v>
      </c>
      <c r="K39" s="2">
        <f t="shared" si="4"/>
        <v>775170</v>
      </c>
      <c r="L39" s="2">
        <f t="shared" si="5"/>
        <v>544042</v>
      </c>
      <c r="O39"/>
    </row>
    <row r="40" spans="1:15" ht="16.5" x14ac:dyDescent="0.25">
      <c r="A40" s="18">
        <v>44223</v>
      </c>
      <c r="B40" s="4" t="s">
        <v>120</v>
      </c>
      <c r="C40" s="1" t="s">
        <v>37</v>
      </c>
      <c r="D40" s="1" t="s">
        <v>11</v>
      </c>
      <c r="E40" s="3" t="s">
        <v>15</v>
      </c>
      <c r="F40" s="2">
        <v>38</v>
      </c>
      <c r="G40" s="1">
        <v>463</v>
      </c>
      <c r="H40" s="2">
        <f t="shared" si="3"/>
        <v>17594</v>
      </c>
      <c r="I40" s="1">
        <v>735</v>
      </c>
      <c r="J40" s="2">
        <v>85</v>
      </c>
      <c r="K40" s="2">
        <f t="shared" si="4"/>
        <v>62475</v>
      </c>
      <c r="L40" s="2">
        <f t="shared" si="5"/>
        <v>44881</v>
      </c>
      <c r="O40"/>
    </row>
    <row r="41" spans="1:15" ht="16.5" x14ac:dyDescent="0.25">
      <c r="A41" s="18">
        <v>44224</v>
      </c>
      <c r="B41" s="4" t="s">
        <v>118</v>
      </c>
      <c r="C41" s="1" t="s">
        <v>38</v>
      </c>
      <c r="D41" s="1" t="s">
        <v>12</v>
      </c>
      <c r="E41" s="3" t="s">
        <v>15</v>
      </c>
      <c r="F41" s="2">
        <v>45</v>
      </c>
      <c r="G41" s="1">
        <v>451</v>
      </c>
      <c r="H41" s="2">
        <f t="shared" si="3"/>
        <v>20295</v>
      </c>
      <c r="I41" s="1">
        <v>602</v>
      </c>
      <c r="J41" s="2">
        <v>75</v>
      </c>
      <c r="K41" s="2">
        <f t="shared" si="4"/>
        <v>45150</v>
      </c>
      <c r="L41" s="2">
        <f t="shared" si="5"/>
        <v>24855</v>
      </c>
      <c r="O41"/>
    </row>
    <row r="42" spans="1:15" ht="16.5" x14ac:dyDescent="0.25">
      <c r="A42" s="18">
        <v>44224</v>
      </c>
      <c r="B42" s="4" t="s">
        <v>118</v>
      </c>
      <c r="C42" s="1" t="s">
        <v>31</v>
      </c>
      <c r="D42" s="1" t="s">
        <v>10</v>
      </c>
      <c r="E42" s="3" t="s">
        <v>5</v>
      </c>
      <c r="F42" s="2">
        <v>42</v>
      </c>
      <c r="G42" s="1">
        <v>279</v>
      </c>
      <c r="H42" s="2">
        <f t="shared" si="3"/>
        <v>11718</v>
      </c>
      <c r="I42" s="1">
        <v>392</v>
      </c>
      <c r="J42" s="2">
        <v>95</v>
      </c>
      <c r="K42" s="2">
        <f t="shared" si="4"/>
        <v>37240</v>
      </c>
      <c r="L42" s="2">
        <f t="shared" si="5"/>
        <v>25522</v>
      </c>
      <c r="O42"/>
    </row>
    <row r="43" spans="1:15" ht="16.5" x14ac:dyDescent="0.25">
      <c r="A43" s="18">
        <v>44225</v>
      </c>
      <c r="B43" s="4" t="s">
        <v>117</v>
      </c>
      <c r="C43" s="1" t="s">
        <v>38</v>
      </c>
      <c r="D43" s="1" t="s">
        <v>12</v>
      </c>
      <c r="E43" s="3" t="s">
        <v>15</v>
      </c>
      <c r="F43" s="2">
        <v>45</v>
      </c>
      <c r="G43" s="1">
        <v>370</v>
      </c>
      <c r="H43" s="2">
        <f t="shared" si="3"/>
        <v>16650</v>
      </c>
      <c r="I43" s="1">
        <v>610</v>
      </c>
      <c r="J43" s="2">
        <v>75</v>
      </c>
      <c r="K43" s="2">
        <f t="shared" si="4"/>
        <v>45750</v>
      </c>
      <c r="L43" s="2">
        <f t="shared" si="5"/>
        <v>29100</v>
      </c>
      <c r="O43"/>
    </row>
    <row r="44" spans="1:15" ht="16.5" x14ac:dyDescent="0.25">
      <c r="A44" s="18">
        <v>44226</v>
      </c>
      <c r="B44" s="4" t="s">
        <v>114</v>
      </c>
      <c r="C44" s="1" t="s">
        <v>32</v>
      </c>
      <c r="D44" s="1" t="s">
        <v>22</v>
      </c>
      <c r="E44" s="3" t="s">
        <v>0</v>
      </c>
      <c r="F44" s="2">
        <v>369</v>
      </c>
      <c r="G44" s="1">
        <v>324</v>
      </c>
      <c r="H44" s="2">
        <f t="shared" si="3"/>
        <v>119556</v>
      </c>
      <c r="I44" s="1">
        <v>525</v>
      </c>
      <c r="J44" s="2">
        <v>740</v>
      </c>
      <c r="K44" s="2">
        <f t="shared" si="4"/>
        <v>388500</v>
      </c>
      <c r="L44" s="2">
        <f t="shared" si="5"/>
        <v>268944</v>
      </c>
      <c r="O44"/>
    </row>
    <row r="45" spans="1:15" ht="16.5" x14ac:dyDescent="0.25">
      <c r="A45" s="18">
        <v>44226</v>
      </c>
      <c r="B45" s="4" t="s">
        <v>119</v>
      </c>
      <c r="C45" s="1" t="s">
        <v>34</v>
      </c>
      <c r="D45" s="1" t="s">
        <v>4</v>
      </c>
      <c r="E45" s="3" t="s">
        <v>0</v>
      </c>
      <c r="F45" s="2">
        <v>624</v>
      </c>
      <c r="G45" s="1">
        <v>765</v>
      </c>
      <c r="H45" s="2">
        <f t="shared" si="3"/>
        <v>477360</v>
      </c>
      <c r="I45" s="1">
        <v>1036</v>
      </c>
      <c r="J45" s="2">
        <v>810</v>
      </c>
      <c r="K45" s="2">
        <f t="shared" si="4"/>
        <v>839160</v>
      </c>
      <c r="L45" s="2">
        <f t="shared" si="5"/>
        <v>361800</v>
      </c>
      <c r="O45"/>
    </row>
    <row r="46" spans="1:15" ht="16.5" x14ac:dyDescent="0.25">
      <c r="A46" s="18">
        <v>44226</v>
      </c>
      <c r="B46" s="4" t="s">
        <v>121</v>
      </c>
      <c r="C46" s="1" t="s">
        <v>37</v>
      </c>
      <c r="D46" s="1" t="s">
        <v>11</v>
      </c>
      <c r="E46" s="3" t="s">
        <v>15</v>
      </c>
      <c r="F46" s="2">
        <v>38</v>
      </c>
      <c r="G46" s="1">
        <v>474</v>
      </c>
      <c r="H46" s="2">
        <f t="shared" si="3"/>
        <v>18012</v>
      </c>
      <c r="I46" s="1">
        <v>486</v>
      </c>
      <c r="J46" s="2">
        <v>85</v>
      </c>
      <c r="K46" s="2">
        <f t="shared" si="4"/>
        <v>41310</v>
      </c>
      <c r="L46" s="2">
        <f t="shared" si="5"/>
        <v>23298</v>
      </c>
      <c r="O46"/>
    </row>
    <row r="47" spans="1:15" ht="16.5" x14ac:dyDescent="0.25">
      <c r="A47" s="18">
        <v>44226</v>
      </c>
      <c r="B47" s="4" t="s">
        <v>121</v>
      </c>
      <c r="C47" s="1" t="s">
        <v>38</v>
      </c>
      <c r="D47" s="1" t="s">
        <v>12</v>
      </c>
      <c r="E47" s="3" t="s">
        <v>15</v>
      </c>
      <c r="F47" s="2">
        <v>45</v>
      </c>
      <c r="G47" s="1">
        <v>488</v>
      </c>
      <c r="H47" s="2">
        <f t="shared" si="3"/>
        <v>21960</v>
      </c>
      <c r="I47" s="1">
        <v>642</v>
      </c>
      <c r="J47" s="2">
        <v>75</v>
      </c>
      <c r="K47" s="2">
        <f t="shared" si="4"/>
        <v>48150</v>
      </c>
      <c r="L47" s="2">
        <f t="shared" si="5"/>
        <v>26190</v>
      </c>
      <c r="O47"/>
    </row>
    <row r="48" spans="1:15" ht="16.5" x14ac:dyDescent="0.25">
      <c r="A48" s="18">
        <v>44226</v>
      </c>
      <c r="B48" s="4" t="s">
        <v>118</v>
      </c>
      <c r="C48" s="1" t="s">
        <v>30</v>
      </c>
      <c r="D48" s="1" t="s">
        <v>9</v>
      </c>
      <c r="E48" s="3" t="s">
        <v>5</v>
      </c>
      <c r="F48" s="2">
        <v>28</v>
      </c>
      <c r="G48" s="1">
        <v>312</v>
      </c>
      <c r="H48" s="2">
        <f t="shared" si="3"/>
        <v>8736</v>
      </c>
      <c r="I48" s="1">
        <v>466</v>
      </c>
      <c r="J48" s="2">
        <v>65</v>
      </c>
      <c r="K48" s="2">
        <f t="shared" si="4"/>
        <v>30290</v>
      </c>
      <c r="L48" s="2">
        <f t="shared" si="5"/>
        <v>21554</v>
      </c>
      <c r="O48"/>
    </row>
    <row r="49" spans="1:15" ht="16.5" x14ac:dyDescent="0.25">
      <c r="A49" s="18">
        <v>44226</v>
      </c>
      <c r="B49" s="4" t="s">
        <v>117</v>
      </c>
      <c r="C49" s="1" t="s">
        <v>29</v>
      </c>
      <c r="D49" s="1" t="s">
        <v>8</v>
      </c>
      <c r="E49" s="3" t="s">
        <v>5</v>
      </c>
      <c r="F49" s="2">
        <v>30</v>
      </c>
      <c r="G49" s="1">
        <v>516</v>
      </c>
      <c r="H49" s="2">
        <f t="shared" si="3"/>
        <v>15480</v>
      </c>
      <c r="I49" s="1">
        <v>786</v>
      </c>
      <c r="J49" s="2">
        <v>70</v>
      </c>
      <c r="K49" s="2">
        <f t="shared" si="4"/>
        <v>55020</v>
      </c>
      <c r="L49" s="2">
        <f t="shared" si="5"/>
        <v>39540</v>
      </c>
      <c r="O49"/>
    </row>
    <row r="50" spans="1:15" ht="16.5" x14ac:dyDescent="0.25">
      <c r="A50" s="18">
        <v>44227</v>
      </c>
      <c r="B50" s="4" t="s">
        <v>118</v>
      </c>
      <c r="C50" s="1" t="s">
        <v>35</v>
      </c>
      <c r="D50" s="1" t="s">
        <v>6</v>
      </c>
      <c r="E50" s="3" t="s">
        <v>0</v>
      </c>
      <c r="F50" s="2">
        <v>518</v>
      </c>
      <c r="G50" s="1">
        <v>480</v>
      </c>
      <c r="H50" s="2">
        <f t="shared" si="3"/>
        <v>248640</v>
      </c>
      <c r="I50" s="1">
        <v>1127</v>
      </c>
      <c r="J50" s="2">
        <v>850</v>
      </c>
      <c r="K50" s="2">
        <f t="shared" si="4"/>
        <v>957950</v>
      </c>
      <c r="L50" s="2">
        <f t="shared" si="5"/>
        <v>709310</v>
      </c>
      <c r="O50"/>
    </row>
    <row r="51" spans="1:15" ht="16.5" x14ac:dyDescent="0.25">
      <c r="A51" s="18">
        <v>44228</v>
      </c>
      <c r="B51" s="4" t="s">
        <v>121</v>
      </c>
      <c r="C51" s="1" t="s">
        <v>41</v>
      </c>
      <c r="D51" s="1" t="s">
        <v>36</v>
      </c>
      <c r="E51" s="3" t="s">
        <v>15</v>
      </c>
      <c r="F51" s="2">
        <v>42</v>
      </c>
      <c r="G51" s="1">
        <v>232</v>
      </c>
      <c r="H51" s="2">
        <f t="shared" si="3"/>
        <v>9744</v>
      </c>
      <c r="I51" s="1">
        <v>321</v>
      </c>
      <c r="J51" s="2">
        <v>85</v>
      </c>
      <c r="K51" s="2">
        <f t="shared" si="4"/>
        <v>27285</v>
      </c>
      <c r="L51" s="2">
        <f t="shared" si="5"/>
        <v>17541</v>
      </c>
      <c r="O51"/>
    </row>
    <row r="52" spans="1:15" ht="16.5" x14ac:dyDescent="0.25">
      <c r="A52" s="18">
        <v>44230</v>
      </c>
      <c r="B52" s="4" t="s">
        <v>118</v>
      </c>
      <c r="C52" s="1" t="s">
        <v>40</v>
      </c>
      <c r="D52" s="1" t="s">
        <v>14</v>
      </c>
      <c r="E52" s="3" t="s">
        <v>15</v>
      </c>
      <c r="F52" s="2">
        <v>46</v>
      </c>
      <c r="G52" s="1">
        <v>265</v>
      </c>
      <c r="H52" s="2">
        <f t="shared" si="3"/>
        <v>12190</v>
      </c>
      <c r="I52" s="1">
        <v>388</v>
      </c>
      <c r="J52" s="2">
        <v>90</v>
      </c>
      <c r="K52" s="2">
        <f t="shared" si="4"/>
        <v>34920</v>
      </c>
      <c r="L52" s="2">
        <f t="shared" si="5"/>
        <v>22730</v>
      </c>
      <c r="O52"/>
    </row>
    <row r="53" spans="1:15" ht="16.5" x14ac:dyDescent="0.25">
      <c r="A53" s="18">
        <v>44231</v>
      </c>
      <c r="B53" s="4" t="s">
        <v>121</v>
      </c>
      <c r="C53" s="1" t="s">
        <v>40</v>
      </c>
      <c r="D53" s="1" t="s">
        <v>14</v>
      </c>
      <c r="E53" s="3" t="s">
        <v>15</v>
      </c>
      <c r="F53" s="2">
        <v>46</v>
      </c>
      <c r="G53" s="1">
        <v>344</v>
      </c>
      <c r="H53" s="2">
        <f t="shared" si="3"/>
        <v>15824</v>
      </c>
      <c r="I53" s="1">
        <v>442</v>
      </c>
      <c r="J53" s="2">
        <v>90</v>
      </c>
      <c r="K53" s="2">
        <f t="shared" si="4"/>
        <v>39780</v>
      </c>
      <c r="L53" s="2">
        <f t="shared" si="5"/>
        <v>23956</v>
      </c>
      <c r="O53"/>
    </row>
    <row r="54" spans="1:15" ht="16.5" x14ac:dyDescent="0.25">
      <c r="A54" s="18">
        <v>44231</v>
      </c>
      <c r="B54" s="4" t="s">
        <v>116</v>
      </c>
      <c r="C54" s="1" t="s">
        <v>31</v>
      </c>
      <c r="D54" s="1" t="s">
        <v>10</v>
      </c>
      <c r="E54" s="3" t="s">
        <v>5</v>
      </c>
      <c r="F54" s="2">
        <v>42</v>
      </c>
      <c r="G54" s="1">
        <v>308</v>
      </c>
      <c r="H54" s="2">
        <f t="shared" si="3"/>
        <v>12936</v>
      </c>
      <c r="I54" s="1">
        <v>452</v>
      </c>
      <c r="J54" s="2">
        <v>95</v>
      </c>
      <c r="K54" s="2">
        <f t="shared" si="4"/>
        <v>42940</v>
      </c>
      <c r="L54" s="2">
        <f t="shared" si="5"/>
        <v>30004</v>
      </c>
      <c r="O54"/>
    </row>
    <row r="55" spans="1:15" ht="16.5" x14ac:dyDescent="0.25">
      <c r="A55" s="18">
        <v>44232</v>
      </c>
      <c r="B55" s="4" t="s">
        <v>121</v>
      </c>
      <c r="C55" s="1" t="s">
        <v>28</v>
      </c>
      <c r="D55" s="1" t="s">
        <v>7</v>
      </c>
      <c r="E55" s="3" t="s">
        <v>5</v>
      </c>
      <c r="F55" s="2">
        <v>25</v>
      </c>
      <c r="G55" s="1">
        <v>240</v>
      </c>
      <c r="H55" s="2">
        <f t="shared" si="3"/>
        <v>6000</v>
      </c>
      <c r="I55" s="1">
        <v>299</v>
      </c>
      <c r="J55" s="2">
        <v>55</v>
      </c>
      <c r="K55" s="2">
        <f t="shared" si="4"/>
        <v>16445</v>
      </c>
      <c r="L55" s="2">
        <f t="shared" si="5"/>
        <v>10445</v>
      </c>
      <c r="O55"/>
    </row>
    <row r="56" spans="1:15" ht="16.5" x14ac:dyDescent="0.25">
      <c r="A56" s="18">
        <v>44233</v>
      </c>
      <c r="B56" s="4" t="s">
        <v>116</v>
      </c>
      <c r="C56" s="1" t="s">
        <v>41</v>
      </c>
      <c r="D56" s="1" t="s">
        <v>36</v>
      </c>
      <c r="E56" s="3" t="s">
        <v>15</v>
      </c>
      <c r="F56" s="2">
        <v>42</v>
      </c>
      <c r="G56" s="1">
        <v>186</v>
      </c>
      <c r="H56" s="2">
        <f t="shared" si="3"/>
        <v>7812</v>
      </c>
      <c r="I56" s="1">
        <v>261</v>
      </c>
      <c r="J56" s="2">
        <v>85</v>
      </c>
      <c r="K56" s="2">
        <f t="shared" si="4"/>
        <v>22185</v>
      </c>
      <c r="L56" s="2">
        <f t="shared" si="5"/>
        <v>14373</v>
      </c>
      <c r="O56"/>
    </row>
    <row r="57" spans="1:15" ht="16.5" x14ac:dyDescent="0.25">
      <c r="A57" s="18">
        <v>44233</v>
      </c>
      <c r="B57" s="4" t="s">
        <v>114</v>
      </c>
      <c r="C57" s="1" t="s">
        <v>38</v>
      </c>
      <c r="D57" s="1" t="s">
        <v>12</v>
      </c>
      <c r="E57" s="3" t="s">
        <v>15</v>
      </c>
      <c r="F57" s="2">
        <v>45</v>
      </c>
      <c r="G57" s="1">
        <v>285</v>
      </c>
      <c r="H57" s="2">
        <f t="shared" si="3"/>
        <v>12825</v>
      </c>
      <c r="I57" s="1">
        <v>481</v>
      </c>
      <c r="J57" s="2">
        <v>75</v>
      </c>
      <c r="K57" s="2">
        <f t="shared" si="4"/>
        <v>36075</v>
      </c>
      <c r="L57" s="2">
        <f t="shared" si="5"/>
        <v>23250</v>
      </c>
      <c r="O57"/>
    </row>
    <row r="58" spans="1:15" ht="16.5" x14ac:dyDescent="0.25">
      <c r="A58" s="18">
        <v>44234</v>
      </c>
      <c r="B58" s="4" t="s">
        <v>120</v>
      </c>
      <c r="C58" s="1" t="s">
        <v>30</v>
      </c>
      <c r="D58" s="1" t="s">
        <v>9</v>
      </c>
      <c r="E58" s="3" t="s">
        <v>5</v>
      </c>
      <c r="F58" s="2">
        <v>28</v>
      </c>
      <c r="G58" s="1">
        <v>440</v>
      </c>
      <c r="H58" s="2">
        <f t="shared" si="3"/>
        <v>12320</v>
      </c>
      <c r="I58" s="1">
        <v>503</v>
      </c>
      <c r="J58" s="2">
        <v>65</v>
      </c>
      <c r="K58" s="2">
        <f t="shared" si="4"/>
        <v>32695</v>
      </c>
      <c r="L58" s="2">
        <f t="shared" si="5"/>
        <v>20375</v>
      </c>
      <c r="O58"/>
    </row>
    <row r="59" spans="1:15" ht="16.5" x14ac:dyDescent="0.25">
      <c r="A59" s="18">
        <v>44234</v>
      </c>
      <c r="B59" s="4" t="s">
        <v>118</v>
      </c>
      <c r="C59" s="1" t="s">
        <v>29</v>
      </c>
      <c r="D59" s="1" t="s">
        <v>8</v>
      </c>
      <c r="E59" s="3" t="s">
        <v>5</v>
      </c>
      <c r="F59" s="2">
        <v>30</v>
      </c>
      <c r="G59" s="1">
        <v>498</v>
      </c>
      <c r="H59" s="2">
        <f t="shared" si="3"/>
        <v>14940</v>
      </c>
      <c r="I59" s="1">
        <v>750</v>
      </c>
      <c r="J59" s="2">
        <v>70</v>
      </c>
      <c r="K59" s="2">
        <f t="shared" si="4"/>
        <v>52500</v>
      </c>
      <c r="L59" s="2">
        <f t="shared" si="5"/>
        <v>37560</v>
      </c>
      <c r="O59"/>
    </row>
    <row r="60" spans="1:15" ht="16.5" x14ac:dyDescent="0.25">
      <c r="A60" s="18">
        <v>44234</v>
      </c>
      <c r="B60" s="4" t="s">
        <v>120</v>
      </c>
      <c r="C60" s="1" t="s">
        <v>29</v>
      </c>
      <c r="D60" s="1" t="s">
        <v>8</v>
      </c>
      <c r="E60" s="3" t="s">
        <v>5</v>
      </c>
      <c r="F60" s="2">
        <v>30</v>
      </c>
      <c r="G60" s="1">
        <v>368</v>
      </c>
      <c r="H60" s="2">
        <f t="shared" si="3"/>
        <v>11040</v>
      </c>
      <c r="I60" s="1">
        <v>568</v>
      </c>
      <c r="J60" s="2">
        <v>70</v>
      </c>
      <c r="K60" s="2">
        <f t="shared" si="4"/>
        <v>39760</v>
      </c>
      <c r="L60" s="2">
        <f t="shared" si="5"/>
        <v>28720</v>
      </c>
      <c r="O60"/>
    </row>
    <row r="61" spans="1:15" ht="16.5" x14ac:dyDescent="0.25">
      <c r="A61" s="18">
        <v>44235</v>
      </c>
      <c r="B61" s="4" t="s">
        <v>116</v>
      </c>
      <c r="C61" s="1" t="s">
        <v>26</v>
      </c>
      <c r="D61" s="1" t="s">
        <v>1</v>
      </c>
      <c r="E61" s="3" t="s">
        <v>0</v>
      </c>
      <c r="F61" s="2">
        <v>668</v>
      </c>
      <c r="G61" s="1">
        <v>600</v>
      </c>
      <c r="H61" s="2">
        <f t="shared" si="3"/>
        <v>400800</v>
      </c>
      <c r="I61" s="1">
        <v>474</v>
      </c>
      <c r="J61" s="2">
        <v>870</v>
      </c>
      <c r="K61" s="2">
        <f t="shared" si="4"/>
        <v>412380</v>
      </c>
      <c r="L61" s="2">
        <f t="shared" si="5"/>
        <v>11580</v>
      </c>
      <c r="O61"/>
    </row>
    <row r="62" spans="1:15" ht="16.5" x14ac:dyDescent="0.25">
      <c r="A62" s="18">
        <v>44235</v>
      </c>
      <c r="B62" s="4" t="s">
        <v>118</v>
      </c>
      <c r="C62" s="1" t="s">
        <v>41</v>
      </c>
      <c r="D62" s="1" t="s">
        <v>36</v>
      </c>
      <c r="E62" s="3" t="s">
        <v>15</v>
      </c>
      <c r="F62" s="2">
        <v>42</v>
      </c>
      <c r="G62" s="1">
        <v>143</v>
      </c>
      <c r="H62" s="2">
        <f t="shared" si="3"/>
        <v>6006</v>
      </c>
      <c r="I62" s="1">
        <v>135</v>
      </c>
      <c r="J62" s="2">
        <v>85</v>
      </c>
      <c r="K62" s="2">
        <f t="shared" si="4"/>
        <v>11475</v>
      </c>
      <c r="L62" s="2">
        <f t="shared" si="5"/>
        <v>5469</v>
      </c>
      <c r="O62"/>
    </row>
    <row r="63" spans="1:15" ht="16.5" x14ac:dyDescent="0.25">
      <c r="A63" s="18">
        <v>44236</v>
      </c>
      <c r="B63" s="4" t="s">
        <v>118</v>
      </c>
      <c r="C63" s="1" t="s">
        <v>34</v>
      </c>
      <c r="D63" s="1" t="s">
        <v>4</v>
      </c>
      <c r="E63" s="3" t="s">
        <v>0</v>
      </c>
      <c r="F63" s="2">
        <v>624</v>
      </c>
      <c r="G63" s="1">
        <v>561</v>
      </c>
      <c r="H63" s="2">
        <f t="shared" si="3"/>
        <v>350064</v>
      </c>
      <c r="I63" s="1">
        <v>918</v>
      </c>
      <c r="J63" s="2">
        <v>810</v>
      </c>
      <c r="K63" s="2">
        <f t="shared" si="4"/>
        <v>743580</v>
      </c>
      <c r="L63" s="2">
        <f t="shared" si="5"/>
        <v>393516</v>
      </c>
      <c r="O63"/>
    </row>
    <row r="64" spans="1:15" ht="16.5" x14ac:dyDescent="0.25">
      <c r="A64" s="18">
        <v>44238</v>
      </c>
      <c r="B64" s="4" t="s">
        <v>120</v>
      </c>
      <c r="C64" s="1" t="s">
        <v>39</v>
      </c>
      <c r="D64" s="1" t="s">
        <v>13</v>
      </c>
      <c r="E64" s="3" t="s">
        <v>15</v>
      </c>
      <c r="F64" s="2">
        <v>58</v>
      </c>
      <c r="G64" s="1">
        <v>228</v>
      </c>
      <c r="H64" s="2">
        <f t="shared" si="3"/>
        <v>13224</v>
      </c>
      <c r="I64" s="1">
        <v>382</v>
      </c>
      <c r="J64" s="2">
        <v>120</v>
      </c>
      <c r="K64" s="2">
        <f t="shared" si="4"/>
        <v>45840</v>
      </c>
      <c r="L64" s="2">
        <f t="shared" si="5"/>
        <v>32616</v>
      </c>
      <c r="O64"/>
    </row>
    <row r="65" spans="1:15" ht="16.5" x14ac:dyDescent="0.25">
      <c r="A65" s="18">
        <v>44239</v>
      </c>
      <c r="B65" s="4" t="s">
        <v>115</v>
      </c>
      <c r="C65" s="1" t="s">
        <v>38</v>
      </c>
      <c r="D65" s="1" t="s">
        <v>12</v>
      </c>
      <c r="E65" s="3" t="s">
        <v>15</v>
      </c>
      <c r="F65" s="2">
        <v>45</v>
      </c>
      <c r="G65" s="1">
        <v>399</v>
      </c>
      <c r="H65" s="2">
        <f t="shared" si="3"/>
        <v>17955</v>
      </c>
      <c r="I65" s="1">
        <v>491</v>
      </c>
      <c r="J65" s="2">
        <v>75</v>
      </c>
      <c r="K65" s="2">
        <f t="shared" si="4"/>
        <v>36825</v>
      </c>
      <c r="L65" s="2">
        <f t="shared" si="5"/>
        <v>18870</v>
      </c>
      <c r="O65"/>
    </row>
    <row r="66" spans="1:15" ht="16.5" x14ac:dyDescent="0.25">
      <c r="A66" s="18">
        <v>44240</v>
      </c>
      <c r="B66" s="4" t="s">
        <v>121</v>
      </c>
      <c r="C66" s="1" t="s">
        <v>32</v>
      </c>
      <c r="D66" s="1" t="s">
        <v>22</v>
      </c>
      <c r="E66" s="3" t="s">
        <v>0</v>
      </c>
      <c r="F66" s="2">
        <v>369</v>
      </c>
      <c r="G66" s="1">
        <v>428</v>
      </c>
      <c r="H66" s="2">
        <f t="shared" si="3"/>
        <v>157932</v>
      </c>
      <c r="I66" s="1">
        <v>977</v>
      </c>
      <c r="J66" s="2">
        <v>740</v>
      </c>
      <c r="K66" s="2">
        <f t="shared" si="4"/>
        <v>722980</v>
      </c>
      <c r="L66" s="2">
        <f t="shared" si="5"/>
        <v>565048</v>
      </c>
      <c r="O66"/>
    </row>
    <row r="67" spans="1:15" ht="16.5" x14ac:dyDescent="0.25">
      <c r="A67" s="18">
        <v>44241</v>
      </c>
      <c r="B67" s="4" t="s">
        <v>119</v>
      </c>
      <c r="C67" s="1" t="s">
        <v>32</v>
      </c>
      <c r="D67" s="1" t="s">
        <v>22</v>
      </c>
      <c r="E67" s="3" t="s">
        <v>0</v>
      </c>
      <c r="F67" s="2">
        <v>369</v>
      </c>
      <c r="G67" s="1">
        <v>319</v>
      </c>
      <c r="H67" s="2">
        <f t="shared" si="3"/>
        <v>117711</v>
      </c>
      <c r="I67" s="1">
        <v>890</v>
      </c>
      <c r="J67" s="2">
        <v>740</v>
      </c>
      <c r="K67" s="2">
        <f t="shared" si="4"/>
        <v>658600</v>
      </c>
      <c r="L67" s="2">
        <f t="shared" si="5"/>
        <v>540889</v>
      </c>
      <c r="O67"/>
    </row>
    <row r="68" spans="1:15" ht="16.5" x14ac:dyDescent="0.25">
      <c r="A68" s="18">
        <v>44241</v>
      </c>
      <c r="B68" s="4" t="s">
        <v>117</v>
      </c>
      <c r="C68" s="1" t="s">
        <v>26</v>
      </c>
      <c r="D68" s="1" t="s">
        <v>1</v>
      </c>
      <c r="E68" s="3" t="s">
        <v>0</v>
      </c>
      <c r="F68" s="2">
        <v>668</v>
      </c>
      <c r="G68" s="1">
        <v>745</v>
      </c>
      <c r="H68" s="2">
        <f t="shared" ref="H68:H99" si="6">F68*G68</f>
        <v>497660</v>
      </c>
      <c r="I68" s="1">
        <v>666</v>
      </c>
      <c r="J68" s="2">
        <v>870</v>
      </c>
      <c r="K68" s="2">
        <f t="shared" ref="K68:K99" si="7">I68*J68</f>
        <v>579420</v>
      </c>
      <c r="L68" s="2">
        <f t="shared" ref="L68:L99" si="8">K68-H68</f>
        <v>81760</v>
      </c>
      <c r="O68"/>
    </row>
    <row r="69" spans="1:15" ht="16.5" x14ac:dyDescent="0.25">
      <c r="A69" s="18">
        <v>44242</v>
      </c>
      <c r="B69" s="4" t="s">
        <v>119</v>
      </c>
      <c r="C69" s="1" t="s">
        <v>27</v>
      </c>
      <c r="D69" s="1" t="s">
        <v>2</v>
      </c>
      <c r="E69" s="3" t="s">
        <v>0</v>
      </c>
      <c r="F69" s="2">
        <v>550</v>
      </c>
      <c r="G69" s="1">
        <v>480</v>
      </c>
      <c r="H69" s="2">
        <f t="shared" si="6"/>
        <v>264000</v>
      </c>
      <c r="I69" s="1">
        <v>912</v>
      </c>
      <c r="J69" s="2">
        <v>950</v>
      </c>
      <c r="K69" s="2">
        <f t="shared" si="7"/>
        <v>866400</v>
      </c>
      <c r="L69" s="2">
        <f t="shared" si="8"/>
        <v>602400</v>
      </c>
      <c r="O69"/>
    </row>
    <row r="70" spans="1:15" ht="16.5" x14ac:dyDescent="0.25">
      <c r="A70" s="18">
        <v>44242</v>
      </c>
      <c r="B70" s="4" t="s">
        <v>120</v>
      </c>
      <c r="C70" s="1" t="s">
        <v>35</v>
      </c>
      <c r="D70" s="1" t="s">
        <v>6</v>
      </c>
      <c r="E70" s="3" t="s">
        <v>0</v>
      </c>
      <c r="F70" s="2">
        <v>518</v>
      </c>
      <c r="G70" s="1">
        <v>576</v>
      </c>
      <c r="H70" s="2">
        <f t="shared" si="6"/>
        <v>298368</v>
      </c>
      <c r="I70" s="1">
        <v>1238</v>
      </c>
      <c r="J70" s="2">
        <v>850</v>
      </c>
      <c r="K70" s="2">
        <f t="shared" si="7"/>
        <v>1052300</v>
      </c>
      <c r="L70" s="2">
        <f t="shared" si="8"/>
        <v>753932</v>
      </c>
      <c r="O70"/>
    </row>
    <row r="71" spans="1:15" ht="16.5" x14ac:dyDescent="0.25">
      <c r="A71" s="18">
        <v>44242</v>
      </c>
      <c r="B71" s="4" t="s">
        <v>121</v>
      </c>
      <c r="C71" s="1" t="s">
        <v>30</v>
      </c>
      <c r="D71" s="1" t="s">
        <v>9</v>
      </c>
      <c r="E71" s="3" t="s">
        <v>5</v>
      </c>
      <c r="F71" s="2">
        <v>28</v>
      </c>
      <c r="G71" s="1">
        <v>379</v>
      </c>
      <c r="H71" s="2">
        <f t="shared" si="6"/>
        <v>10612</v>
      </c>
      <c r="I71" s="1">
        <v>474</v>
      </c>
      <c r="J71" s="2">
        <v>65</v>
      </c>
      <c r="K71" s="2">
        <f t="shared" si="7"/>
        <v>30810</v>
      </c>
      <c r="L71" s="2">
        <f t="shared" si="8"/>
        <v>20198</v>
      </c>
      <c r="O71"/>
    </row>
    <row r="72" spans="1:15" ht="16.5" x14ac:dyDescent="0.25">
      <c r="A72" s="18">
        <v>44243</v>
      </c>
      <c r="B72" s="4" t="s">
        <v>118</v>
      </c>
      <c r="C72" s="1" t="s">
        <v>27</v>
      </c>
      <c r="D72" s="1" t="s">
        <v>2</v>
      </c>
      <c r="E72" s="3" t="s">
        <v>0</v>
      </c>
      <c r="F72" s="2">
        <v>550</v>
      </c>
      <c r="G72" s="1">
        <v>414</v>
      </c>
      <c r="H72" s="2">
        <f t="shared" si="6"/>
        <v>227700</v>
      </c>
      <c r="I72" s="1">
        <v>1024</v>
      </c>
      <c r="J72" s="2">
        <v>950</v>
      </c>
      <c r="K72" s="2">
        <f t="shared" si="7"/>
        <v>972800</v>
      </c>
      <c r="L72" s="2">
        <f t="shared" si="8"/>
        <v>745100</v>
      </c>
      <c r="O72"/>
    </row>
    <row r="73" spans="1:15" ht="16.5" x14ac:dyDescent="0.25">
      <c r="A73" s="18">
        <v>44243</v>
      </c>
      <c r="B73" s="4" t="s">
        <v>117</v>
      </c>
      <c r="C73" s="1" t="s">
        <v>39</v>
      </c>
      <c r="D73" s="1" t="s">
        <v>13</v>
      </c>
      <c r="E73" s="3" t="s">
        <v>15</v>
      </c>
      <c r="F73" s="2">
        <v>58</v>
      </c>
      <c r="G73" s="1">
        <v>260</v>
      </c>
      <c r="H73" s="2">
        <f t="shared" si="6"/>
        <v>15080</v>
      </c>
      <c r="I73" s="1">
        <v>271</v>
      </c>
      <c r="J73" s="2">
        <v>120</v>
      </c>
      <c r="K73" s="2">
        <f t="shared" si="7"/>
        <v>32520</v>
      </c>
      <c r="L73" s="2">
        <f t="shared" si="8"/>
        <v>17440</v>
      </c>
      <c r="O73"/>
    </row>
    <row r="74" spans="1:15" ht="16.5" x14ac:dyDescent="0.25">
      <c r="A74" s="18">
        <v>44244</v>
      </c>
      <c r="B74" s="4" t="s">
        <v>119</v>
      </c>
      <c r="C74" s="1" t="s">
        <v>33</v>
      </c>
      <c r="D74" s="1" t="s">
        <v>3</v>
      </c>
      <c r="E74" s="3" t="s">
        <v>0</v>
      </c>
      <c r="F74" s="2">
        <v>485</v>
      </c>
      <c r="G74" s="1">
        <v>552</v>
      </c>
      <c r="H74" s="2">
        <f t="shared" si="6"/>
        <v>267720</v>
      </c>
      <c r="I74" s="1">
        <v>584</v>
      </c>
      <c r="J74" s="2">
        <v>885</v>
      </c>
      <c r="K74" s="2">
        <f t="shared" si="7"/>
        <v>516840</v>
      </c>
      <c r="L74" s="2">
        <f t="shared" si="8"/>
        <v>249120</v>
      </c>
      <c r="O74"/>
    </row>
    <row r="75" spans="1:15" ht="16.5" x14ac:dyDescent="0.25">
      <c r="A75" s="18">
        <v>44244</v>
      </c>
      <c r="B75" s="4" t="s">
        <v>118</v>
      </c>
      <c r="C75" s="1" t="s">
        <v>33</v>
      </c>
      <c r="D75" s="1" t="s">
        <v>3</v>
      </c>
      <c r="E75" s="3" t="s">
        <v>0</v>
      </c>
      <c r="F75" s="2">
        <v>485</v>
      </c>
      <c r="G75" s="1">
        <v>468</v>
      </c>
      <c r="H75" s="2">
        <f t="shared" si="6"/>
        <v>226980</v>
      </c>
      <c r="I75" s="1">
        <v>686</v>
      </c>
      <c r="J75" s="2">
        <v>885</v>
      </c>
      <c r="K75" s="2">
        <f t="shared" si="7"/>
        <v>607110</v>
      </c>
      <c r="L75" s="2">
        <f t="shared" si="8"/>
        <v>380130</v>
      </c>
      <c r="O75"/>
    </row>
    <row r="76" spans="1:15" ht="16.5" x14ac:dyDescent="0.25">
      <c r="A76" s="18">
        <v>44244</v>
      </c>
      <c r="B76" s="4" t="s">
        <v>116</v>
      </c>
      <c r="C76" s="1" t="s">
        <v>39</v>
      </c>
      <c r="D76" s="1" t="s">
        <v>13</v>
      </c>
      <c r="E76" s="3" t="s">
        <v>15</v>
      </c>
      <c r="F76" s="2">
        <v>58</v>
      </c>
      <c r="G76" s="1">
        <v>283</v>
      </c>
      <c r="H76" s="2">
        <f t="shared" si="6"/>
        <v>16414</v>
      </c>
      <c r="I76" s="1">
        <v>323</v>
      </c>
      <c r="J76" s="2">
        <v>120</v>
      </c>
      <c r="K76" s="2">
        <f t="shared" si="7"/>
        <v>38760</v>
      </c>
      <c r="L76" s="2">
        <f t="shared" si="8"/>
        <v>22346</v>
      </c>
      <c r="O76"/>
    </row>
    <row r="77" spans="1:15" ht="16.5" x14ac:dyDescent="0.25">
      <c r="A77" s="18">
        <v>44246</v>
      </c>
      <c r="B77" s="4" t="s">
        <v>116</v>
      </c>
      <c r="C77" s="1" t="s">
        <v>30</v>
      </c>
      <c r="D77" s="1" t="s">
        <v>9</v>
      </c>
      <c r="E77" s="3" t="s">
        <v>5</v>
      </c>
      <c r="F77" s="2">
        <v>28</v>
      </c>
      <c r="G77" s="1">
        <v>231</v>
      </c>
      <c r="H77" s="2">
        <f t="shared" si="6"/>
        <v>6468</v>
      </c>
      <c r="I77" s="1">
        <v>303</v>
      </c>
      <c r="J77" s="2">
        <v>65</v>
      </c>
      <c r="K77" s="2">
        <f t="shared" si="7"/>
        <v>19695</v>
      </c>
      <c r="L77" s="2">
        <f t="shared" si="8"/>
        <v>13227</v>
      </c>
      <c r="O77"/>
    </row>
    <row r="78" spans="1:15" ht="16.5" x14ac:dyDescent="0.25">
      <c r="A78" s="18">
        <v>44247</v>
      </c>
      <c r="B78" s="4" t="s">
        <v>119</v>
      </c>
      <c r="C78" s="1" t="s">
        <v>26</v>
      </c>
      <c r="D78" s="1" t="s">
        <v>1</v>
      </c>
      <c r="E78" s="3" t="s">
        <v>0</v>
      </c>
      <c r="F78" s="2">
        <v>668</v>
      </c>
      <c r="G78" s="1">
        <v>676</v>
      </c>
      <c r="H78" s="2">
        <f t="shared" si="6"/>
        <v>451568</v>
      </c>
      <c r="I78" s="1">
        <v>740</v>
      </c>
      <c r="J78" s="2">
        <v>870</v>
      </c>
      <c r="K78" s="2">
        <f t="shared" si="7"/>
        <v>643800</v>
      </c>
      <c r="L78" s="2">
        <f t="shared" si="8"/>
        <v>192232</v>
      </c>
      <c r="O78"/>
    </row>
    <row r="79" spans="1:15" ht="16.5" x14ac:dyDescent="0.25">
      <c r="A79" s="18">
        <v>44248</v>
      </c>
      <c r="B79" s="4" t="s">
        <v>120</v>
      </c>
      <c r="C79" s="1" t="s">
        <v>31</v>
      </c>
      <c r="D79" s="1" t="s">
        <v>10</v>
      </c>
      <c r="E79" s="3" t="s">
        <v>5</v>
      </c>
      <c r="F79" s="2">
        <v>42</v>
      </c>
      <c r="G79" s="1">
        <v>329</v>
      </c>
      <c r="H79" s="2">
        <f t="shared" si="6"/>
        <v>13818</v>
      </c>
      <c r="I79" s="1">
        <v>510</v>
      </c>
      <c r="J79" s="2">
        <v>95</v>
      </c>
      <c r="K79" s="2">
        <f t="shared" si="7"/>
        <v>48450</v>
      </c>
      <c r="L79" s="2">
        <f t="shared" si="8"/>
        <v>34632</v>
      </c>
      <c r="O79"/>
    </row>
    <row r="80" spans="1:15" ht="16.5" x14ac:dyDescent="0.25">
      <c r="A80" s="18">
        <v>44250</v>
      </c>
      <c r="B80" s="4" t="s">
        <v>119</v>
      </c>
      <c r="C80" s="1" t="s">
        <v>35</v>
      </c>
      <c r="D80" s="1" t="s">
        <v>6</v>
      </c>
      <c r="E80" s="3" t="s">
        <v>0</v>
      </c>
      <c r="F80" s="2">
        <v>518</v>
      </c>
      <c r="G80" s="1">
        <v>507</v>
      </c>
      <c r="H80" s="2">
        <f t="shared" si="6"/>
        <v>262626</v>
      </c>
      <c r="I80" s="1">
        <v>1160</v>
      </c>
      <c r="J80" s="2">
        <v>850</v>
      </c>
      <c r="K80" s="2">
        <f t="shared" si="7"/>
        <v>986000</v>
      </c>
      <c r="L80" s="2">
        <f t="shared" si="8"/>
        <v>723374</v>
      </c>
      <c r="O80"/>
    </row>
    <row r="81" spans="1:15" ht="16.5" x14ac:dyDescent="0.25">
      <c r="A81" s="18">
        <v>44250</v>
      </c>
      <c r="B81" s="4" t="s">
        <v>117</v>
      </c>
      <c r="C81" s="1" t="s">
        <v>33</v>
      </c>
      <c r="D81" s="1" t="s">
        <v>3</v>
      </c>
      <c r="E81" s="3" t="s">
        <v>0</v>
      </c>
      <c r="F81" s="2">
        <v>485</v>
      </c>
      <c r="G81" s="1">
        <v>480</v>
      </c>
      <c r="H81" s="2">
        <f t="shared" si="6"/>
        <v>232800</v>
      </c>
      <c r="I81" s="1">
        <v>734</v>
      </c>
      <c r="J81" s="2">
        <v>885</v>
      </c>
      <c r="K81" s="2">
        <f t="shared" si="7"/>
        <v>649590</v>
      </c>
      <c r="L81" s="2">
        <f t="shared" si="8"/>
        <v>416790</v>
      </c>
      <c r="O81"/>
    </row>
    <row r="82" spans="1:15" ht="16.5" x14ac:dyDescent="0.25">
      <c r="A82" s="18">
        <v>44251</v>
      </c>
      <c r="B82" s="4" t="s">
        <v>115</v>
      </c>
      <c r="C82" s="1" t="s">
        <v>41</v>
      </c>
      <c r="D82" s="1" t="s">
        <v>36</v>
      </c>
      <c r="E82" s="3" t="s">
        <v>15</v>
      </c>
      <c r="F82" s="2">
        <v>42</v>
      </c>
      <c r="G82" s="1">
        <v>223</v>
      </c>
      <c r="H82" s="2">
        <f t="shared" si="6"/>
        <v>9366</v>
      </c>
      <c r="I82" s="1">
        <v>291</v>
      </c>
      <c r="J82" s="2">
        <v>85</v>
      </c>
      <c r="K82" s="2">
        <f t="shared" si="7"/>
        <v>24735</v>
      </c>
      <c r="L82" s="2">
        <f t="shared" si="8"/>
        <v>15369</v>
      </c>
      <c r="O82"/>
    </row>
    <row r="83" spans="1:15" ht="16.5" x14ac:dyDescent="0.25">
      <c r="A83" s="18">
        <v>44252</v>
      </c>
      <c r="B83" s="4" t="s">
        <v>119</v>
      </c>
      <c r="C83" s="1" t="s">
        <v>38</v>
      </c>
      <c r="D83" s="1" t="s">
        <v>12</v>
      </c>
      <c r="E83" s="3" t="s">
        <v>15</v>
      </c>
      <c r="F83" s="2">
        <v>45</v>
      </c>
      <c r="G83" s="1">
        <v>466</v>
      </c>
      <c r="H83" s="2">
        <f t="shared" si="6"/>
        <v>20970</v>
      </c>
      <c r="I83" s="1">
        <v>562</v>
      </c>
      <c r="J83" s="2">
        <v>75</v>
      </c>
      <c r="K83" s="2">
        <f t="shared" si="7"/>
        <v>42150</v>
      </c>
      <c r="L83" s="2">
        <f t="shared" si="8"/>
        <v>21180</v>
      </c>
      <c r="O83"/>
    </row>
    <row r="84" spans="1:15" ht="16.5" x14ac:dyDescent="0.25">
      <c r="A84" s="18">
        <v>44253</v>
      </c>
      <c r="B84" s="4" t="s">
        <v>119</v>
      </c>
      <c r="C84" s="1" t="s">
        <v>37</v>
      </c>
      <c r="D84" s="1" t="s">
        <v>11</v>
      </c>
      <c r="E84" s="3" t="s">
        <v>15</v>
      </c>
      <c r="F84" s="2">
        <v>38</v>
      </c>
      <c r="G84" s="1">
        <v>529</v>
      </c>
      <c r="H84" s="2">
        <f t="shared" si="6"/>
        <v>20102</v>
      </c>
      <c r="I84" s="1">
        <v>487</v>
      </c>
      <c r="J84" s="2">
        <v>85</v>
      </c>
      <c r="K84" s="2">
        <f t="shared" si="7"/>
        <v>41395</v>
      </c>
      <c r="L84" s="2">
        <f t="shared" si="8"/>
        <v>21293</v>
      </c>
      <c r="O84"/>
    </row>
    <row r="85" spans="1:15" ht="16.5" x14ac:dyDescent="0.25">
      <c r="A85" s="18">
        <v>44254</v>
      </c>
      <c r="B85" s="4" t="s">
        <v>117</v>
      </c>
      <c r="C85" s="1" t="s">
        <v>37</v>
      </c>
      <c r="D85" s="1" t="s">
        <v>11</v>
      </c>
      <c r="E85" s="3" t="s">
        <v>15</v>
      </c>
      <c r="F85" s="2">
        <v>38</v>
      </c>
      <c r="G85" s="1">
        <v>430</v>
      </c>
      <c r="H85" s="2">
        <f t="shared" si="6"/>
        <v>16340</v>
      </c>
      <c r="I85" s="1">
        <v>597</v>
      </c>
      <c r="J85" s="2">
        <v>85</v>
      </c>
      <c r="K85" s="2">
        <f t="shared" si="7"/>
        <v>50745</v>
      </c>
      <c r="L85" s="2">
        <f t="shared" si="8"/>
        <v>34405</v>
      </c>
      <c r="O85"/>
    </row>
    <row r="86" spans="1:15" ht="16.5" x14ac:dyDescent="0.25">
      <c r="A86" s="18">
        <v>44254</v>
      </c>
      <c r="B86" s="4" t="s">
        <v>114</v>
      </c>
      <c r="C86" s="1" t="s">
        <v>30</v>
      </c>
      <c r="D86" s="1" t="s">
        <v>9</v>
      </c>
      <c r="E86" s="3" t="s">
        <v>5</v>
      </c>
      <c r="F86" s="2">
        <v>28</v>
      </c>
      <c r="G86" s="1">
        <v>259</v>
      </c>
      <c r="H86" s="2">
        <f t="shared" si="6"/>
        <v>7252</v>
      </c>
      <c r="I86" s="1">
        <v>418</v>
      </c>
      <c r="J86" s="2">
        <v>65</v>
      </c>
      <c r="K86" s="2">
        <f t="shared" si="7"/>
        <v>27170</v>
      </c>
      <c r="L86" s="2">
        <f t="shared" si="8"/>
        <v>19918</v>
      </c>
      <c r="O86"/>
    </row>
    <row r="87" spans="1:15" ht="16.5" x14ac:dyDescent="0.25">
      <c r="A87" s="18">
        <v>44255</v>
      </c>
      <c r="B87" s="4" t="s">
        <v>114</v>
      </c>
      <c r="C87" s="1" t="s">
        <v>40</v>
      </c>
      <c r="D87" s="1" t="s">
        <v>14</v>
      </c>
      <c r="E87" s="3" t="s">
        <v>15</v>
      </c>
      <c r="F87" s="2">
        <v>46</v>
      </c>
      <c r="G87" s="1">
        <v>305</v>
      </c>
      <c r="H87" s="2">
        <f t="shared" si="6"/>
        <v>14030</v>
      </c>
      <c r="I87" s="1">
        <v>503</v>
      </c>
      <c r="J87" s="2">
        <v>90</v>
      </c>
      <c r="K87" s="2">
        <f t="shared" si="7"/>
        <v>45270</v>
      </c>
      <c r="L87" s="2">
        <f t="shared" si="8"/>
        <v>31240</v>
      </c>
      <c r="O87"/>
    </row>
    <row r="88" spans="1:15" ht="16.5" x14ac:dyDescent="0.25">
      <c r="A88" s="18">
        <v>44255</v>
      </c>
      <c r="B88" s="4" t="s">
        <v>114</v>
      </c>
      <c r="C88" s="1" t="s">
        <v>29</v>
      </c>
      <c r="D88" s="1" t="s">
        <v>8</v>
      </c>
      <c r="E88" s="3" t="s">
        <v>5</v>
      </c>
      <c r="F88" s="2">
        <v>30</v>
      </c>
      <c r="G88" s="1">
        <v>472</v>
      </c>
      <c r="H88" s="2">
        <f t="shared" si="6"/>
        <v>14160</v>
      </c>
      <c r="I88" s="1">
        <v>581</v>
      </c>
      <c r="J88" s="2">
        <v>70</v>
      </c>
      <c r="K88" s="2">
        <f t="shared" si="7"/>
        <v>40670</v>
      </c>
      <c r="L88" s="2">
        <f t="shared" si="8"/>
        <v>26510</v>
      </c>
      <c r="O88"/>
    </row>
    <row r="89" spans="1:15" ht="16.5" x14ac:dyDescent="0.25">
      <c r="A89" s="18">
        <v>44256</v>
      </c>
      <c r="B89" s="4" t="s">
        <v>114</v>
      </c>
      <c r="C89" s="1" t="s">
        <v>33</v>
      </c>
      <c r="D89" s="1" t="s">
        <v>3</v>
      </c>
      <c r="E89" s="3" t="s">
        <v>0</v>
      </c>
      <c r="F89" s="2">
        <v>485</v>
      </c>
      <c r="G89" s="1">
        <v>399</v>
      </c>
      <c r="H89" s="2">
        <f t="shared" si="6"/>
        <v>193515</v>
      </c>
      <c r="I89" s="1">
        <v>800</v>
      </c>
      <c r="J89" s="2">
        <v>885</v>
      </c>
      <c r="K89" s="2">
        <f t="shared" si="7"/>
        <v>708000</v>
      </c>
      <c r="L89" s="2">
        <f t="shared" si="8"/>
        <v>514485</v>
      </c>
      <c r="O89"/>
    </row>
    <row r="90" spans="1:15" ht="16.5" x14ac:dyDescent="0.25">
      <c r="A90" s="18">
        <v>44258</v>
      </c>
      <c r="B90" s="4" t="s">
        <v>116</v>
      </c>
      <c r="C90" s="1" t="s">
        <v>32</v>
      </c>
      <c r="D90" s="1" t="s">
        <v>22</v>
      </c>
      <c r="E90" s="3" t="s">
        <v>0</v>
      </c>
      <c r="F90" s="2">
        <v>369</v>
      </c>
      <c r="G90" s="1">
        <v>162</v>
      </c>
      <c r="H90" s="2">
        <f t="shared" si="6"/>
        <v>59778</v>
      </c>
      <c r="I90" s="1">
        <v>366</v>
      </c>
      <c r="J90" s="2">
        <v>740</v>
      </c>
      <c r="K90" s="2">
        <f t="shared" si="7"/>
        <v>270840</v>
      </c>
      <c r="L90" s="2">
        <f t="shared" si="8"/>
        <v>211062</v>
      </c>
      <c r="O90"/>
    </row>
    <row r="91" spans="1:15" ht="16.5" x14ac:dyDescent="0.25">
      <c r="A91" s="18">
        <v>44258</v>
      </c>
      <c r="B91" s="4" t="s">
        <v>121</v>
      </c>
      <c r="C91" s="1" t="s">
        <v>34</v>
      </c>
      <c r="D91" s="1" t="s">
        <v>4</v>
      </c>
      <c r="E91" s="3" t="s">
        <v>0</v>
      </c>
      <c r="F91" s="2">
        <v>624</v>
      </c>
      <c r="G91" s="1">
        <v>448</v>
      </c>
      <c r="H91" s="2">
        <f t="shared" si="6"/>
        <v>279552</v>
      </c>
      <c r="I91" s="1">
        <v>685</v>
      </c>
      <c r="J91" s="2">
        <v>810</v>
      </c>
      <c r="K91" s="2">
        <f t="shared" si="7"/>
        <v>554850</v>
      </c>
      <c r="L91" s="2">
        <f t="shared" si="8"/>
        <v>275298</v>
      </c>
      <c r="O91"/>
    </row>
    <row r="92" spans="1:15" ht="16.5" x14ac:dyDescent="0.25">
      <c r="A92" s="18">
        <v>44259</v>
      </c>
      <c r="B92" s="4" t="s">
        <v>115</v>
      </c>
      <c r="C92" s="1" t="s">
        <v>33</v>
      </c>
      <c r="D92" s="1" t="s">
        <v>3</v>
      </c>
      <c r="E92" s="3" t="s">
        <v>0</v>
      </c>
      <c r="F92" s="2">
        <v>485</v>
      </c>
      <c r="G92" s="1">
        <v>448</v>
      </c>
      <c r="H92" s="2">
        <f t="shared" si="6"/>
        <v>217280</v>
      </c>
      <c r="I92" s="1">
        <v>629</v>
      </c>
      <c r="J92" s="2">
        <v>885</v>
      </c>
      <c r="K92" s="2">
        <f t="shared" si="7"/>
        <v>556665</v>
      </c>
      <c r="L92" s="2">
        <f t="shared" si="8"/>
        <v>339385</v>
      </c>
      <c r="O92"/>
    </row>
    <row r="93" spans="1:15" ht="16.5" x14ac:dyDescent="0.25">
      <c r="A93" s="18">
        <v>44260</v>
      </c>
      <c r="B93" s="4" t="s">
        <v>114</v>
      </c>
      <c r="C93" s="1" t="s">
        <v>37</v>
      </c>
      <c r="D93" s="1" t="s">
        <v>11</v>
      </c>
      <c r="E93" s="3" t="s">
        <v>15</v>
      </c>
      <c r="F93" s="2">
        <v>38</v>
      </c>
      <c r="G93" s="1">
        <v>516</v>
      </c>
      <c r="H93" s="2">
        <f t="shared" si="6"/>
        <v>19608</v>
      </c>
      <c r="I93" s="1">
        <v>642</v>
      </c>
      <c r="J93" s="2">
        <v>85</v>
      </c>
      <c r="K93" s="2">
        <f t="shared" si="7"/>
        <v>54570</v>
      </c>
      <c r="L93" s="2">
        <f t="shared" si="8"/>
        <v>34962</v>
      </c>
      <c r="O93"/>
    </row>
    <row r="94" spans="1:15" ht="16.5" x14ac:dyDescent="0.25">
      <c r="A94" s="18">
        <v>44260</v>
      </c>
      <c r="B94" s="4" t="s">
        <v>117</v>
      </c>
      <c r="C94" s="1" t="s">
        <v>28</v>
      </c>
      <c r="D94" s="1" t="s">
        <v>7</v>
      </c>
      <c r="E94" s="3" t="s">
        <v>5</v>
      </c>
      <c r="F94" s="2">
        <v>25</v>
      </c>
      <c r="G94" s="1">
        <v>302</v>
      </c>
      <c r="H94" s="2">
        <f t="shared" si="6"/>
        <v>7550</v>
      </c>
      <c r="I94" s="1">
        <v>380</v>
      </c>
      <c r="J94" s="2">
        <v>55</v>
      </c>
      <c r="K94" s="2">
        <f t="shared" si="7"/>
        <v>20900</v>
      </c>
      <c r="L94" s="2">
        <f t="shared" si="8"/>
        <v>13350</v>
      </c>
      <c r="O94"/>
    </row>
    <row r="95" spans="1:15" ht="16.5" x14ac:dyDescent="0.25">
      <c r="A95" s="18">
        <v>44262</v>
      </c>
      <c r="B95" s="4" t="s">
        <v>117</v>
      </c>
      <c r="C95" s="1" t="s">
        <v>27</v>
      </c>
      <c r="D95" s="1" t="s">
        <v>2</v>
      </c>
      <c r="E95" s="3" t="s">
        <v>0</v>
      </c>
      <c r="F95" s="2">
        <v>550</v>
      </c>
      <c r="G95" s="1">
        <v>249</v>
      </c>
      <c r="H95" s="2">
        <f t="shared" si="6"/>
        <v>136950</v>
      </c>
      <c r="I95" s="1">
        <v>484</v>
      </c>
      <c r="J95" s="2">
        <v>950</v>
      </c>
      <c r="K95" s="2">
        <f t="shared" si="7"/>
        <v>459800</v>
      </c>
      <c r="L95" s="2">
        <f t="shared" si="8"/>
        <v>322850</v>
      </c>
      <c r="O95"/>
    </row>
    <row r="96" spans="1:15" ht="16.5" x14ac:dyDescent="0.25">
      <c r="A96" s="18">
        <v>44262</v>
      </c>
      <c r="B96" s="4" t="s">
        <v>118</v>
      </c>
      <c r="C96" s="1" t="s">
        <v>37</v>
      </c>
      <c r="D96" s="1" t="s">
        <v>11</v>
      </c>
      <c r="E96" s="3" t="s">
        <v>15</v>
      </c>
      <c r="F96" s="2">
        <v>38</v>
      </c>
      <c r="G96" s="1">
        <v>486</v>
      </c>
      <c r="H96" s="2">
        <f t="shared" si="6"/>
        <v>18468</v>
      </c>
      <c r="I96" s="1">
        <v>634</v>
      </c>
      <c r="J96" s="2">
        <v>85</v>
      </c>
      <c r="K96" s="2">
        <f t="shared" si="7"/>
        <v>53890</v>
      </c>
      <c r="L96" s="2">
        <f t="shared" si="8"/>
        <v>35422</v>
      </c>
      <c r="O96"/>
    </row>
    <row r="97" spans="1:15" ht="16.5" x14ac:dyDescent="0.25">
      <c r="A97" s="18">
        <v>44262</v>
      </c>
      <c r="B97" s="4" t="s">
        <v>115</v>
      </c>
      <c r="C97" s="1" t="s">
        <v>30</v>
      </c>
      <c r="D97" s="1" t="s">
        <v>9</v>
      </c>
      <c r="E97" s="3" t="s">
        <v>5</v>
      </c>
      <c r="F97" s="2">
        <v>28</v>
      </c>
      <c r="G97" s="1">
        <v>410</v>
      </c>
      <c r="H97" s="2">
        <f t="shared" si="6"/>
        <v>11480</v>
      </c>
      <c r="I97" s="1">
        <v>447</v>
      </c>
      <c r="J97" s="2">
        <v>65</v>
      </c>
      <c r="K97" s="2">
        <f t="shared" si="7"/>
        <v>29055</v>
      </c>
      <c r="L97" s="2">
        <f t="shared" si="8"/>
        <v>17575</v>
      </c>
      <c r="O97"/>
    </row>
    <row r="98" spans="1:15" ht="16.5" x14ac:dyDescent="0.25">
      <c r="A98" s="18">
        <v>44263</v>
      </c>
      <c r="B98" s="4" t="s">
        <v>116</v>
      </c>
      <c r="C98" s="1" t="s">
        <v>35</v>
      </c>
      <c r="D98" s="1" t="s">
        <v>6</v>
      </c>
      <c r="E98" s="3" t="s">
        <v>0</v>
      </c>
      <c r="F98" s="2">
        <v>518</v>
      </c>
      <c r="G98" s="1">
        <v>378</v>
      </c>
      <c r="H98" s="2">
        <f t="shared" si="6"/>
        <v>195804</v>
      </c>
      <c r="I98" s="1">
        <v>1388</v>
      </c>
      <c r="J98" s="2">
        <v>850</v>
      </c>
      <c r="K98" s="2">
        <f t="shared" si="7"/>
        <v>1179800</v>
      </c>
      <c r="L98" s="2">
        <f t="shared" si="8"/>
        <v>983996</v>
      </c>
      <c r="O98"/>
    </row>
    <row r="99" spans="1:15" ht="16.5" x14ac:dyDescent="0.25">
      <c r="A99" s="18">
        <v>44263</v>
      </c>
      <c r="B99" s="4" t="s">
        <v>117</v>
      </c>
      <c r="C99" s="1" t="s">
        <v>31</v>
      </c>
      <c r="D99" s="1" t="s">
        <v>10</v>
      </c>
      <c r="E99" s="3" t="s">
        <v>5</v>
      </c>
      <c r="F99" s="2">
        <v>42</v>
      </c>
      <c r="G99" s="1">
        <v>330</v>
      </c>
      <c r="H99" s="2">
        <f t="shared" si="6"/>
        <v>13860</v>
      </c>
      <c r="I99" s="1">
        <v>447</v>
      </c>
      <c r="J99" s="2">
        <v>95</v>
      </c>
      <c r="K99" s="2">
        <f t="shared" si="7"/>
        <v>42465</v>
      </c>
      <c r="L99" s="2">
        <f t="shared" si="8"/>
        <v>28605</v>
      </c>
      <c r="O99"/>
    </row>
    <row r="100" spans="1:15" ht="16.5" x14ac:dyDescent="0.25">
      <c r="A100" s="18">
        <v>44265</v>
      </c>
      <c r="B100" s="4" t="s">
        <v>120</v>
      </c>
      <c r="C100" s="1" t="s">
        <v>27</v>
      </c>
      <c r="D100" s="1" t="s">
        <v>2</v>
      </c>
      <c r="E100" s="3" t="s">
        <v>0</v>
      </c>
      <c r="F100" s="2">
        <v>550</v>
      </c>
      <c r="G100" s="1">
        <v>414</v>
      </c>
      <c r="H100" s="2">
        <f t="shared" ref="H100:H123" si="9">F100*G100</f>
        <v>227700</v>
      </c>
      <c r="I100" s="1">
        <v>522</v>
      </c>
      <c r="J100" s="2">
        <v>950</v>
      </c>
      <c r="K100" s="2">
        <f t="shared" ref="K100:K123" si="10">I100*J100</f>
        <v>495900</v>
      </c>
      <c r="L100" s="2">
        <f t="shared" ref="L100:L123" si="11">K100-H100</f>
        <v>268200</v>
      </c>
      <c r="O100"/>
    </row>
    <row r="101" spans="1:15" ht="16.5" x14ac:dyDescent="0.25">
      <c r="A101" s="18">
        <v>44267</v>
      </c>
      <c r="B101" s="4" t="s">
        <v>116</v>
      </c>
      <c r="C101" s="1" t="s">
        <v>34</v>
      </c>
      <c r="D101" s="1" t="s">
        <v>4</v>
      </c>
      <c r="E101" s="3" t="s">
        <v>0</v>
      </c>
      <c r="F101" s="2">
        <v>624</v>
      </c>
      <c r="G101" s="1">
        <v>660</v>
      </c>
      <c r="H101" s="2">
        <f t="shared" si="9"/>
        <v>411840</v>
      </c>
      <c r="I101" s="1">
        <v>584</v>
      </c>
      <c r="J101" s="2">
        <v>810</v>
      </c>
      <c r="K101" s="2">
        <f t="shared" si="10"/>
        <v>473040</v>
      </c>
      <c r="L101" s="2">
        <f t="shared" si="11"/>
        <v>61200</v>
      </c>
      <c r="O101"/>
    </row>
    <row r="102" spans="1:15" ht="16.5" x14ac:dyDescent="0.25">
      <c r="A102" s="18">
        <v>44267</v>
      </c>
      <c r="B102" s="4" t="s">
        <v>116</v>
      </c>
      <c r="C102" s="1" t="s">
        <v>29</v>
      </c>
      <c r="D102" s="1" t="s">
        <v>8</v>
      </c>
      <c r="E102" s="3" t="s">
        <v>5</v>
      </c>
      <c r="F102" s="2">
        <v>30</v>
      </c>
      <c r="G102" s="1">
        <v>393</v>
      </c>
      <c r="H102" s="2">
        <f t="shared" si="9"/>
        <v>11790</v>
      </c>
      <c r="I102" s="1">
        <v>536</v>
      </c>
      <c r="J102" s="2">
        <v>70</v>
      </c>
      <c r="K102" s="2">
        <f t="shared" si="10"/>
        <v>37520</v>
      </c>
      <c r="L102" s="2">
        <f t="shared" si="11"/>
        <v>25730</v>
      </c>
      <c r="O102"/>
    </row>
    <row r="103" spans="1:15" ht="16.5" x14ac:dyDescent="0.25">
      <c r="A103" s="18">
        <v>44268</v>
      </c>
      <c r="B103" s="4" t="s">
        <v>115</v>
      </c>
      <c r="C103" s="1" t="s">
        <v>32</v>
      </c>
      <c r="D103" s="1" t="s">
        <v>22</v>
      </c>
      <c r="E103" s="3" t="s">
        <v>0</v>
      </c>
      <c r="F103" s="2">
        <v>369</v>
      </c>
      <c r="G103" s="1">
        <v>307</v>
      </c>
      <c r="H103" s="2">
        <f t="shared" si="9"/>
        <v>113283</v>
      </c>
      <c r="I103" s="1">
        <v>611</v>
      </c>
      <c r="J103" s="2">
        <v>740</v>
      </c>
      <c r="K103" s="2">
        <f t="shared" si="10"/>
        <v>452140</v>
      </c>
      <c r="L103" s="2">
        <f t="shared" si="11"/>
        <v>338857</v>
      </c>
      <c r="O103"/>
    </row>
    <row r="104" spans="1:15" ht="16.5" x14ac:dyDescent="0.25">
      <c r="A104" s="18">
        <v>44268</v>
      </c>
      <c r="B104" s="4" t="s">
        <v>117</v>
      </c>
      <c r="C104" s="1" t="s">
        <v>32</v>
      </c>
      <c r="D104" s="1" t="s">
        <v>22</v>
      </c>
      <c r="E104" s="3" t="s">
        <v>0</v>
      </c>
      <c r="F104" s="2">
        <v>369</v>
      </c>
      <c r="G104" s="1">
        <v>475</v>
      </c>
      <c r="H104" s="2">
        <f t="shared" si="9"/>
        <v>175275</v>
      </c>
      <c r="I104" s="1">
        <v>758</v>
      </c>
      <c r="J104" s="2">
        <v>740</v>
      </c>
      <c r="K104" s="2">
        <f t="shared" si="10"/>
        <v>560920</v>
      </c>
      <c r="L104" s="2">
        <f t="shared" si="11"/>
        <v>385645</v>
      </c>
      <c r="O104"/>
    </row>
    <row r="105" spans="1:15" ht="16.5" x14ac:dyDescent="0.25">
      <c r="A105" s="18">
        <v>44269</v>
      </c>
      <c r="B105" s="4" t="s">
        <v>114</v>
      </c>
      <c r="C105" s="1" t="s">
        <v>39</v>
      </c>
      <c r="D105" s="1" t="s">
        <v>13</v>
      </c>
      <c r="E105" s="3" t="s">
        <v>15</v>
      </c>
      <c r="F105" s="2">
        <v>58</v>
      </c>
      <c r="G105" s="1">
        <v>269</v>
      </c>
      <c r="H105" s="2">
        <f t="shared" si="9"/>
        <v>15602</v>
      </c>
      <c r="I105" s="1">
        <v>351</v>
      </c>
      <c r="J105" s="2">
        <v>120</v>
      </c>
      <c r="K105" s="2">
        <f t="shared" si="10"/>
        <v>42120</v>
      </c>
      <c r="L105" s="2">
        <f t="shared" si="11"/>
        <v>26518</v>
      </c>
      <c r="O105"/>
    </row>
    <row r="106" spans="1:15" ht="16.5" x14ac:dyDescent="0.25">
      <c r="A106" s="18">
        <v>44270</v>
      </c>
      <c r="B106" s="4" t="s">
        <v>116</v>
      </c>
      <c r="C106" s="1" t="s">
        <v>38</v>
      </c>
      <c r="D106" s="1" t="s">
        <v>12</v>
      </c>
      <c r="E106" s="3" t="s">
        <v>15</v>
      </c>
      <c r="F106" s="2">
        <v>45</v>
      </c>
      <c r="G106" s="1">
        <v>361</v>
      </c>
      <c r="H106" s="2">
        <f t="shared" si="9"/>
        <v>16245</v>
      </c>
      <c r="I106" s="1">
        <v>516</v>
      </c>
      <c r="J106" s="2">
        <v>75</v>
      </c>
      <c r="K106" s="2">
        <f t="shared" si="10"/>
        <v>38700</v>
      </c>
      <c r="L106" s="2">
        <f t="shared" si="11"/>
        <v>22455</v>
      </c>
      <c r="O106"/>
    </row>
    <row r="107" spans="1:15" ht="16.5" x14ac:dyDescent="0.25">
      <c r="A107" s="18">
        <v>44270</v>
      </c>
      <c r="B107" s="4" t="s">
        <v>117</v>
      </c>
      <c r="C107" s="1" t="s">
        <v>30</v>
      </c>
      <c r="D107" s="1" t="s">
        <v>9</v>
      </c>
      <c r="E107" s="3" t="s">
        <v>5</v>
      </c>
      <c r="F107" s="2">
        <v>28</v>
      </c>
      <c r="G107" s="1">
        <v>441</v>
      </c>
      <c r="H107" s="2">
        <f t="shared" si="9"/>
        <v>12348</v>
      </c>
      <c r="I107" s="1">
        <v>643</v>
      </c>
      <c r="J107" s="2">
        <v>65</v>
      </c>
      <c r="K107" s="2">
        <f t="shared" si="10"/>
        <v>41795</v>
      </c>
      <c r="L107" s="2">
        <f t="shared" si="11"/>
        <v>29447</v>
      </c>
      <c r="O107"/>
    </row>
    <row r="108" spans="1:15" ht="16.5" x14ac:dyDescent="0.25">
      <c r="A108" s="18">
        <v>44271</v>
      </c>
      <c r="B108" s="4" t="s">
        <v>119</v>
      </c>
      <c r="C108" s="1" t="s">
        <v>39</v>
      </c>
      <c r="D108" s="1" t="s">
        <v>13</v>
      </c>
      <c r="E108" s="3" t="s">
        <v>15</v>
      </c>
      <c r="F108" s="2">
        <v>58</v>
      </c>
      <c r="G108" s="1">
        <v>263</v>
      </c>
      <c r="H108" s="2">
        <f t="shared" si="9"/>
        <v>15254</v>
      </c>
      <c r="I108" s="1">
        <v>440</v>
      </c>
      <c r="J108" s="2">
        <v>120</v>
      </c>
      <c r="K108" s="2">
        <f t="shared" si="10"/>
        <v>52800</v>
      </c>
      <c r="L108" s="2">
        <f t="shared" si="11"/>
        <v>37546</v>
      </c>
      <c r="O108"/>
    </row>
    <row r="109" spans="1:15" ht="16.5" x14ac:dyDescent="0.25">
      <c r="A109" s="18">
        <v>44272</v>
      </c>
      <c r="B109" s="4" t="s">
        <v>114</v>
      </c>
      <c r="C109" s="1" t="s">
        <v>34</v>
      </c>
      <c r="D109" s="1" t="s">
        <v>4</v>
      </c>
      <c r="E109" s="3" t="s">
        <v>0</v>
      </c>
      <c r="F109" s="2">
        <v>624</v>
      </c>
      <c r="G109" s="1">
        <v>730</v>
      </c>
      <c r="H109" s="2">
        <f t="shared" si="9"/>
        <v>455520</v>
      </c>
      <c r="I109" s="1">
        <v>496</v>
      </c>
      <c r="J109" s="2">
        <v>810</v>
      </c>
      <c r="K109" s="2">
        <f t="shared" si="10"/>
        <v>401760</v>
      </c>
      <c r="L109" s="2">
        <f t="shared" si="11"/>
        <v>-53760</v>
      </c>
      <c r="O109"/>
    </row>
    <row r="110" spans="1:15" ht="16.5" x14ac:dyDescent="0.25">
      <c r="A110" s="18">
        <v>44272</v>
      </c>
      <c r="B110" s="4" t="s">
        <v>120</v>
      </c>
      <c r="C110" s="1" t="s">
        <v>26</v>
      </c>
      <c r="D110" s="1" t="s">
        <v>1</v>
      </c>
      <c r="E110" s="3" t="s">
        <v>0</v>
      </c>
      <c r="F110" s="2">
        <v>668</v>
      </c>
      <c r="G110" s="1">
        <v>825</v>
      </c>
      <c r="H110" s="2">
        <f t="shared" si="9"/>
        <v>551100</v>
      </c>
      <c r="I110" s="1">
        <v>562</v>
      </c>
      <c r="J110" s="2">
        <v>870</v>
      </c>
      <c r="K110" s="2">
        <f t="shared" si="10"/>
        <v>488940</v>
      </c>
      <c r="L110" s="2">
        <f t="shared" si="11"/>
        <v>-62160</v>
      </c>
      <c r="O110"/>
    </row>
    <row r="111" spans="1:15" ht="16.5" x14ac:dyDescent="0.25">
      <c r="A111" s="18">
        <v>44273</v>
      </c>
      <c r="B111" s="4" t="s">
        <v>117</v>
      </c>
      <c r="C111" s="1" t="s">
        <v>34</v>
      </c>
      <c r="D111" s="1" t="s">
        <v>4</v>
      </c>
      <c r="E111" s="3" t="s">
        <v>0</v>
      </c>
      <c r="F111" s="2">
        <v>624</v>
      </c>
      <c r="G111" s="1">
        <v>409</v>
      </c>
      <c r="H111" s="2">
        <f t="shared" si="9"/>
        <v>255216</v>
      </c>
      <c r="I111" s="1">
        <v>507</v>
      </c>
      <c r="J111" s="2">
        <v>810</v>
      </c>
      <c r="K111" s="2">
        <f t="shared" si="10"/>
        <v>410670</v>
      </c>
      <c r="L111" s="2">
        <f t="shared" si="11"/>
        <v>155454</v>
      </c>
      <c r="O111"/>
    </row>
    <row r="112" spans="1:15" ht="16.5" x14ac:dyDescent="0.25">
      <c r="A112" s="18">
        <v>44274</v>
      </c>
      <c r="B112" s="4" t="s">
        <v>116</v>
      </c>
      <c r="C112" s="1" t="s">
        <v>40</v>
      </c>
      <c r="D112" s="1" t="s">
        <v>14</v>
      </c>
      <c r="E112" s="3" t="s">
        <v>15</v>
      </c>
      <c r="F112" s="2">
        <v>46</v>
      </c>
      <c r="G112" s="1">
        <v>321</v>
      </c>
      <c r="H112" s="2">
        <f t="shared" si="9"/>
        <v>14766</v>
      </c>
      <c r="I112" s="1">
        <v>493</v>
      </c>
      <c r="J112" s="2">
        <v>90</v>
      </c>
      <c r="K112" s="2">
        <f t="shared" si="10"/>
        <v>44370</v>
      </c>
      <c r="L112" s="2">
        <f t="shared" si="11"/>
        <v>29604</v>
      </c>
      <c r="O112"/>
    </row>
    <row r="113" spans="1:15" ht="16.5" x14ac:dyDescent="0.25">
      <c r="A113" s="18">
        <v>44275</v>
      </c>
      <c r="B113" s="4" t="s">
        <v>120</v>
      </c>
      <c r="C113" s="1" t="s">
        <v>34</v>
      </c>
      <c r="D113" s="1" t="s">
        <v>4</v>
      </c>
      <c r="E113" s="3" t="s">
        <v>0</v>
      </c>
      <c r="F113" s="2">
        <v>624</v>
      </c>
      <c r="G113" s="1">
        <v>604</v>
      </c>
      <c r="H113" s="2">
        <f t="shared" si="9"/>
        <v>376896</v>
      </c>
      <c r="I113" s="1">
        <v>382</v>
      </c>
      <c r="J113" s="2">
        <v>810</v>
      </c>
      <c r="K113" s="2">
        <f t="shared" si="10"/>
        <v>309420</v>
      </c>
      <c r="L113" s="2">
        <f t="shared" si="11"/>
        <v>-67476</v>
      </c>
      <c r="O113"/>
    </row>
    <row r="114" spans="1:15" ht="16.5" x14ac:dyDescent="0.25">
      <c r="A114" s="18">
        <v>44276</v>
      </c>
      <c r="B114" s="4" t="s">
        <v>116</v>
      </c>
      <c r="C114" s="1" t="s">
        <v>28</v>
      </c>
      <c r="D114" s="1" t="s">
        <v>7</v>
      </c>
      <c r="E114" s="3" t="s">
        <v>5</v>
      </c>
      <c r="F114" s="2">
        <v>25</v>
      </c>
      <c r="G114" s="1">
        <v>180</v>
      </c>
      <c r="H114" s="2">
        <f t="shared" si="9"/>
        <v>4500</v>
      </c>
      <c r="I114" s="1">
        <v>265</v>
      </c>
      <c r="J114" s="2">
        <v>55</v>
      </c>
      <c r="K114" s="2">
        <f t="shared" si="10"/>
        <v>14575</v>
      </c>
      <c r="L114" s="2">
        <f t="shared" si="11"/>
        <v>10075</v>
      </c>
      <c r="O114"/>
    </row>
    <row r="115" spans="1:15" ht="16.5" x14ac:dyDescent="0.25">
      <c r="A115" s="18">
        <v>44277</v>
      </c>
      <c r="B115" s="4" t="s">
        <v>115</v>
      </c>
      <c r="C115" s="1" t="s">
        <v>27</v>
      </c>
      <c r="D115" s="1" t="s">
        <v>2</v>
      </c>
      <c r="E115" s="3" t="s">
        <v>0</v>
      </c>
      <c r="F115" s="2">
        <v>550</v>
      </c>
      <c r="G115" s="1">
        <v>421</v>
      </c>
      <c r="H115" s="2">
        <f t="shared" si="9"/>
        <v>231550</v>
      </c>
      <c r="I115" s="1">
        <v>671</v>
      </c>
      <c r="J115" s="2">
        <v>950</v>
      </c>
      <c r="K115" s="2">
        <f t="shared" si="10"/>
        <v>637450</v>
      </c>
      <c r="L115" s="2">
        <f t="shared" si="11"/>
        <v>405900</v>
      </c>
      <c r="O115"/>
    </row>
    <row r="116" spans="1:15" ht="16.5" x14ac:dyDescent="0.25">
      <c r="A116" s="18">
        <v>44278</v>
      </c>
      <c r="B116" s="4" t="s">
        <v>114</v>
      </c>
      <c r="C116" s="1" t="s">
        <v>27</v>
      </c>
      <c r="D116" s="1" t="s">
        <v>2</v>
      </c>
      <c r="E116" s="3" t="s">
        <v>0</v>
      </c>
      <c r="F116" s="2">
        <v>550</v>
      </c>
      <c r="G116" s="1">
        <v>580</v>
      </c>
      <c r="H116" s="2">
        <f t="shared" si="9"/>
        <v>319000</v>
      </c>
      <c r="I116" s="1">
        <v>752</v>
      </c>
      <c r="J116" s="2">
        <v>950</v>
      </c>
      <c r="K116" s="2">
        <f t="shared" si="10"/>
        <v>714400</v>
      </c>
      <c r="L116" s="2">
        <f t="shared" si="11"/>
        <v>395400</v>
      </c>
      <c r="O116"/>
    </row>
    <row r="117" spans="1:15" ht="16.5" x14ac:dyDescent="0.25">
      <c r="A117" s="18">
        <v>44278</v>
      </c>
      <c r="B117" s="4" t="s">
        <v>121</v>
      </c>
      <c r="C117" s="1" t="s">
        <v>35</v>
      </c>
      <c r="D117" s="1" t="s">
        <v>6</v>
      </c>
      <c r="E117" s="3" t="s">
        <v>0</v>
      </c>
      <c r="F117" s="2">
        <v>518</v>
      </c>
      <c r="G117" s="1">
        <v>405</v>
      </c>
      <c r="H117" s="2">
        <f t="shared" si="9"/>
        <v>209790</v>
      </c>
      <c r="I117" s="1">
        <v>1170</v>
      </c>
      <c r="J117" s="2">
        <v>850</v>
      </c>
      <c r="K117" s="2">
        <f t="shared" si="10"/>
        <v>994500</v>
      </c>
      <c r="L117" s="2">
        <f t="shared" si="11"/>
        <v>784710</v>
      </c>
      <c r="O117"/>
    </row>
    <row r="118" spans="1:15" ht="16.5" x14ac:dyDescent="0.25">
      <c r="A118" s="18">
        <v>44280</v>
      </c>
      <c r="B118" s="4" t="s">
        <v>119</v>
      </c>
      <c r="C118" s="1" t="s">
        <v>41</v>
      </c>
      <c r="D118" s="1" t="s">
        <v>36</v>
      </c>
      <c r="E118" s="3" t="s">
        <v>15</v>
      </c>
      <c r="F118" s="2">
        <v>42</v>
      </c>
      <c r="G118" s="1">
        <v>247</v>
      </c>
      <c r="H118" s="2">
        <f t="shared" si="9"/>
        <v>10374</v>
      </c>
      <c r="I118" s="1">
        <v>398</v>
      </c>
      <c r="J118" s="2">
        <v>85</v>
      </c>
      <c r="K118" s="2">
        <f t="shared" si="10"/>
        <v>33830</v>
      </c>
      <c r="L118" s="2">
        <f t="shared" si="11"/>
        <v>23456</v>
      </c>
      <c r="O118"/>
    </row>
    <row r="119" spans="1:15" ht="16.5" x14ac:dyDescent="0.25">
      <c r="A119" s="18">
        <v>44281</v>
      </c>
      <c r="B119" s="4" t="s">
        <v>120</v>
      </c>
      <c r="C119" s="1" t="s">
        <v>32</v>
      </c>
      <c r="D119" s="1" t="s">
        <v>22</v>
      </c>
      <c r="E119" s="3" t="s">
        <v>0</v>
      </c>
      <c r="F119" s="2">
        <v>369</v>
      </c>
      <c r="G119" s="1">
        <v>510</v>
      </c>
      <c r="H119" s="2">
        <f t="shared" si="9"/>
        <v>188190</v>
      </c>
      <c r="I119" s="1">
        <v>518</v>
      </c>
      <c r="J119" s="2">
        <v>740</v>
      </c>
      <c r="K119" s="2">
        <f t="shared" si="10"/>
        <v>383320</v>
      </c>
      <c r="L119" s="2">
        <f t="shared" si="11"/>
        <v>195130</v>
      </c>
      <c r="O119"/>
    </row>
    <row r="120" spans="1:15" ht="16.5" x14ac:dyDescent="0.25">
      <c r="A120" s="18">
        <v>44281</v>
      </c>
      <c r="B120" s="4" t="s">
        <v>114</v>
      </c>
      <c r="C120" s="1" t="s">
        <v>31</v>
      </c>
      <c r="D120" s="1" t="s">
        <v>10</v>
      </c>
      <c r="E120" s="3" t="s">
        <v>5</v>
      </c>
      <c r="F120" s="2">
        <v>42</v>
      </c>
      <c r="G120" s="1">
        <v>323</v>
      </c>
      <c r="H120" s="2">
        <f t="shared" si="9"/>
        <v>13566</v>
      </c>
      <c r="I120" s="1">
        <v>446</v>
      </c>
      <c r="J120" s="2">
        <v>95</v>
      </c>
      <c r="K120" s="2">
        <f t="shared" si="10"/>
        <v>42370</v>
      </c>
      <c r="L120" s="2">
        <f t="shared" si="11"/>
        <v>28804</v>
      </c>
      <c r="O120"/>
    </row>
    <row r="121" spans="1:15" ht="16.5" x14ac:dyDescent="0.25">
      <c r="A121" s="18">
        <v>44282</v>
      </c>
      <c r="B121" s="4" t="s">
        <v>114</v>
      </c>
      <c r="C121" s="1" t="s">
        <v>26</v>
      </c>
      <c r="D121" s="1" t="s">
        <v>1</v>
      </c>
      <c r="E121" s="3" t="s">
        <v>0</v>
      </c>
      <c r="F121" s="2">
        <v>668</v>
      </c>
      <c r="G121" s="1">
        <v>864</v>
      </c>
      <c r="H121" s="2">
        <f t="shared" si="9"/>
        <v>577152</v>
      </c>
      <c r="I121" s="1">
        <v>770</v>
      </c>
      <c r="J121" s="2">
        <v>870</v>
      </c>
      <c r="K121" s="2">
        <f t="shared" si="10"/>
        <v>669900</v>
      </c>
      <c r="L121" s="2">
        <f t="shared" si="11"/>
        <v>92748</v>
      </c>
      <c r="O121"/>
    </row>
    <row r="122" spans="1:15" ht="16.5" x14ac:dyDescent="0.25">
      <c r="A122" s="18">
        <v>44284</v>
      </c>
      <c r="B122" s="4" t="s">
        <v>117</v>
      </c>
      <c r="C122" s="1" t="s">
        <v>40</v>
      </c>
      <c r="D122" s="1" t="s">
        <v>14</v>
      </c>
      <c r="E122" s="3" t="s">
        <v>15</v>
      </c>
      <c r="F122" s="2">
        <v>46</v>
      </c>
      <c r="G122" s="1">
        <v>289</v>
      </c>
      <c r="H122" s="2">
        <f t="shared" si="9"/>
        <v>13294</v>
      </c>
      <c r="I122" s="1">
        <v>482</v>
      </c>
      <c r="J122" s="2">
        <v>90</v>
      </c>
      <c r="K122" s="2">
        <f t="shared" si="10"/>
        <v>43380</v>
      </c>
      <c r="L122" s="2">
        <f t="shared" si="11"/>
        <v>30086</v>
      </c>
      <c r="O122"/>
    </row>
    <row r="123" spans="1:15" ht="16.5" x14ac:dyDescent="0.25">
      <c r="A123" s="18">
        <v>44285</v>
      </c>
      <c r="B123" s="4" t="s">
        <v>118</v>
      </c>
      <c r="C123" s="1" t="s">
        <v>26</v>
      </c>
      <c r="D123" s="1" t="s">
        <v>1</v>
      </c>
      <c r="E123" s="3" t="s">
        <v>0</v>
      </c>
      <c r="F123" s="2">
        <v>668</v>
      </c>
      <c r="G123" s="1">
        <v>642</v>
      </c>
      <c r="H123" s="2">
        <f t="shared" si="9"/>
        <v>428856</v>
      </c>
      <c r="I123" s="1">
        <v>483</v>
      </c>
      <c r="J123" s="2">
        <v>870</v>
      </c>
      <c r="K123" s="2">
        <f t="shared" si="10"/>
        <v>420210</v>
      </c>
      <c r="L123" s="2">
        <f t="shared" si="11"/>
        <v>-8646</v>
      </c>
      <c r="O123"/>
    </row>
    <row r="124" spans="1:15" ht="16.5" x14ac:dyDescent="0.25">
      <c r="O124"/>
    </row>
  </sheetData>
  <mergeCells count="2">
    <mergeCell ref="A1:L1"/>
    <mergeCell ref="A2:L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43E7-465C-4E25-9719-F1A28234C0D1}">
  <dimension ref="A1:E18"/>
  <sheetViews>
    <sheetView workbookViewId="0">
      <selection activeCell="E7" sqref="E7"/>
    </sheetView>
  </sheetViews>
  <sheetFormatPr defaultRowHeight="15.75" x14ac:dyDescent="0.25"/>
  <cols>
    <col min="1" max="1" width="9" style="5"/>
    <col min="2" max="2" width="15.375" style="5" bestFit="1" customWidth="1"/>
    <col min="3" max="5" width="15.25" style="5" bestFit="1" customWidth="1"/>
    <col min="6" max="16384" width="9" style="5"/>
  </cols>
  <sheetData>
    <row r="1" spans="1:5" ht="24" x14ac:dyDescent="0.25">
      <c r="A1" s="41" t="s">
        <v>135</v>
      </c>
      <c r="B1" s="41"/>
      <c r="C1" s="41"/>
      <c r="D1" s="41"/>
      <c r="E1" s="41"/>
    </row>
    <row r="2" spans="1:5" ht="18.75" x14ac:dyDescent="0.25">
      <c r="A2" s="42" t="s">
        <v>147</v>
      </c>
      <c r="B2" s="42"/>
      <c r="C2" s="42"/>
      <c r="D2" s="42"/>
      <c r="E2" s="42"/>
    </row>
    <row r="3" spans="1:5" x14ac:dyDescent="0.25">
      <c r="A3" s="4" t="s">
        <v>113</v>
      </c>
      <c r="B3" s="38" t="s">
        <v>191</v>
      </c>
      <c r="C3" s="37" t="s">
        <v>188</v>
      </c>
      <c r="D3" s="37" t="s">
        <v>189</v>
      </c>
      <c r="E3" s="37" t="s">
        <v>190</v>
      </c>
    </row>
    <row r="4" spans="1:5" x14ac:dyDescent="0.25">
      <c r="A4" s="4" t="s">
        <v>128</v>
      </c>
      <c r="B4" s="4" t="s">
        <v>2</v>
      </c>
      <c r="C4" s="23">
        <v>1886700</v>
      </c>
      <c r="D4" s="23">
        <v>1839200</v>
      </c>
      <c r="E4" s="23">
        <v>2307550</v>
      </c>
    </row>
    <row r="5" spans="1:5" x14ac:dyDescent="0.25">
      <c r="A5" s="4" t="s">
        <v>128</v>
      </c>
      <c r="B5" s="4" t="s">
        <v>6</v>
      </c>
      <c r="C5" s="23">
        <v>3371950</v>
      </c>
      <c r="D5" s="23">
        <v>2038300</v>
      </c>
      <c r="E5" s="23">
        <v>2174300</v>
      </c>
    </row>
    <row r="6" spans="1:5" x14ac:dyDescent="0.25">
      <c r="A6" s="4" t="s">
        <v>128</v>
      </c>
      <c r="B6" s="4" t="s">
        <v>4</v>
      </c>
      <c r="C6" s="23">
        <v>1594890</v>
      </c>
      <c r="D6" s="23">
        <v>743580</v>
      </c>
      <c r="E6" s="23">
        <v>2149740</v>
      </c>
    </row>
    <row r="7" spans="1:5" x14ac:dyDescent="0.25">
      <c r="A7" s="4" t="s">
        <v>128</v>
      </c>
      <c r="B7" s="4" t="s">
        <v>22</v>
      </c>
      <c r="C7" s="23">
        <v>979020</v>
      </c>
      <c r="D7" s="23">
        <v>1381580</v>
      </c>
      <c r="E7" s="23">
        <v>1667220</v>
      </c>
    </row>
    <row r="8" spans="1:5" x14ac:dyDescent="0.25">
      <c r="A8" s="4" t="s">
        <v>128</v>
      </c>
      <c r="B8" s="4" t="s">
        <v>1</v>
      </c>
      <c r="C8" s="23">
        <v>1264980</v>
      </c>
      <c r="D8" s="23">
        <v>1635600</v>
      </c>
      <c r="E8" s="23">
        <v>1579050</v>
      </c>
    </row>
    <row r="9" spans="1:5" x14ac:dyDescent="0.25">
      <c r="A9" s="4" t="s">
        <v>128</v>
      </c>
      <c r="B9" s="4" t="s">
        <v>3</v>
      </c>
      <c r="C9" s="23">
        <v>1769115</v>
      </c>
      <c r="D9" s="23">
        <v>1773540</v>
      </c>
      <c r="E9" s="23">
        <v>1264665</v>
      </c>
    </row>
    <row r="10" spans="1:5" x14ac:dyDescent="0.25">
      <c r="A10" s="4" t="s">
        <v>122</v>
      </c>
      <c r="B10" s="4" t="s">
        <v>11</v>
      </c>
      <c r="C10" s="23">
        <v>179265</v>
      </c>
      <c r="D10" s="23">
        <v>92140</v>
      </c>
      <c r="E10" s="23">
        <v>108460</v>
      </c>
    </row>
    <row r="11" spans="1:5" x14ac:dyDescent="0.25">
      <c r="A11" s="4" t="s">
        <v>122</v>
      </c>
      <c r="B11" s="4" t="s">
        <v>13</v>
      </c>
      <c r="C11" s="23">
        <v>106080</v>
      </c>
      <c r="D11" s="23">
        <v>117120</v>
      </c>
      <c r="E11" s="23">
        <v>94920</v>
      </c>
    </row>
    <row r="12" spans="1:5" x14ac:dyDescent="0.25">
      <c r="A12" s="4" t="s">
        <v>122</v>
      </c>
      <c r="B12" s="4" t="s">
        <v>14</v>
      </c>
      <c r="C12" s="23">
        <v>107100</v>
      </c>
      <c r="D12" s="23">
        <v>119970</v>
      </c>
      <c r="E12" s="23">
        <v>87750</v>
      </c>
    </row>
    <row r="13" spans="1:5" x14ac:dyDescent="0.25">
      <c r="A13" s="4" t="s">
        <v>140</v>
      </c>
      <c r="B13" s="4" t="s">
        <v>10</v>
      </c>
      <c r="C13" s="23">
        <v>139365</v>
      </c>
      <c r="D13" s="23">
        <v>91390</v>
      </c>
      <c r="E13" s="23">
        <v>84835</v>
      </c>
    </row>
    <row r="14" spans="1:5" x14ac:dyDescent="0.25">
      <c r="A14" s="4" t="s">
        <v>140</v>
      </c>
      <c r="B14" s="4" t="s">
        <v>9</v>
      </c>
      <c r="C14" s="23">
        <v>79300</v>
      </c>
      <c r="D14" s="23">
        <v>110370</v>
      </c>
      <c r="E14" s="23">
        <v>70850</v>
      </c>
    </row>
    <row r="15" spans="1:5" x14ac:dyDescent="0.25">
      <c r="A15" s="4" t="s">
        <v>122</v>
      </c>
      <c r="B15" s="4" t="s">
        <v>12</v>
      </c>
      <c r="C15" s="23">
        <v>192975</v>
      </c>
      <c r="D15" s="23">
        <v>115050</v>
      </c>
      <c r="E15" s="23">
        <v>38700</v>
      </c>
    </row>
    <row r="16" spans="1:5" x14ac:dyDescent="0.25">
      <c r="A16" s="4" t="s">
        <v>140</v>
      </c>
      <c r="B16" s="4" t="s">
        <v>8</v>
      </c>
      <c r="C16" s="23">
        <v>163800</v>
      </c>
      <c r="D16" s="23">
        <v>132930</v>
      </c>
      <c r="E16" s="23">
        <v>37520</v>
      </c>
    </row>
    <row r="17" spans="1:5" x14ac:dyDescent="0.25">
      <c r="A17" s="4" t="s">
        <v>140</v>
      </c>
      <c r="B17" s="4" t="s">
        <v>7</v>
      </c>
      <c r="C17" s="23">
        <v>73370</v>
      </c>
      <c r="D17" s="23">
        <v>16445</v>
      </c>
      <c r="E17" s="23">
        <v>35475</v>
      </c>
    </row>
    <row r="18" spans="1:5" x14ac:dyDescent="0.25">
      <c r="A18" s="4" t="s">
        <v>122</v>
      </c>
      <c r="B18" s="4" t="s">
        <v>36</v>
      </c>
      <c r="C18" s="23">
        <v>88910</v>
      </c>
      <c r="D18" s="23">
        <v>85680</v>
      </c>
      <c r="E18" s="23">
        <v>33830</v>
      </c>
    </row>
  </sheetData>
  <sortState xmlns:xlrd2="http://schemas.microsoft.com/office/spreadsheetml/2017/richdata2" ref="A4:E18">
    <sortCondition descending="1" ref="E4:E18"/>
  </sortState>
  <mergeCells count="2">
    <mergeCell ref="A1:E1"/>
    <mergeCell ref="A2:E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F736-49A0-4EB4-B73F-7D3049FACBD9}">
  <dimension ref="A1:E19"/>
  <sheetViews>
    <sheetView workbookViewId="0">
      <selection activeCell="B6" sqref="B6"/>
    </sheetView>
  </sheetViews>
  <sheetFormatPr defaultRowHeight="15" x14ac:dyDescent="0.25"/>
  <cols>
    <col min="1" max="5" width="13.25" style="4" bestFit="1" customWidth="1"/>
    <col min="6" max="16384" width="9" style="4"/>
  </cols>
  <sheetData>
    <row r="1" spans="1:5" x14ac:dyDescent="0.25">
      <c r="A1" s="24" t="s">
        <v>148</v>
      </c>
      <c r="B1" s="43" t="s">
        <v>140</v>
      </c>
    </row>
    <row r="3" spans="1:5" ht="16.5" x14ac:dyDescent="0.25">
      <c r="A3" s="24" t="s">
        <v>23</v>
      </c>
      <c r="B3" s="43" t="s">
        <v>193</v>
      </c>
      <c r="C3"/>
      <c r="D3"/>
      <c r="E3"/>
    </row>
    <row r="4" spans="1:5" ht="16.5" x14ac:dyDescent="0.25">
      <c r="A4" s="43" t="s">
        <v>7</v>
      </c>
      <c r="B4" s="44">
        <v>125290</v>
      </c>
      <c r="C4"/>
      <c r="D4"/>
      <c r="E4"/>
    </row>
    <row r="5" spans="1:5" ht="16.5" x14ac:dyDescent="0.25">
      <c r="A5" s="43" t="s">
        <v>192</v>
      </c>
      <c r="B5" s="44">
        <v>315590</v>
      </c>
      <c r="C5"/>
      <c r="D5"/>
      <c r="E5"/>
    </row>
    <row r="6" spans="1:5" ht="16.5" x14ac:dyDescent="0.25">
      <c r="A6" s="43" t="s">
        <v>9</v>
      </c>
      <c r="B6" s="44">
        <v>260520</v>
      </c>
      <c r="C6"/>
      <c r="D6"/>
      <c r="E6"/>
    </row>
    <row r="7" spans="1:5" ht="16.5" x14ac:dyDescent="0.25">
      <c r="A7" s="43" t="s">
        <v>8</v>
      </c>
      <c r="B7" s="44">
        <v>334250</v>
      </c>
      <c r="C7"/>
      <c r="D7"/>
      <c r="E7"/>
    </row>
    <row r="8" spans="1:5" ht="16.5" x14ac:dyDescent="0.25">
      <c r="A8"/>
      <c r="B8"/>
      <c r="C8"/>
      <c r="D8"/>
    </row>
    <row r="9" spans="1:5" ht="16.5" x14ac:dyDescent="0.25">
      <c r="A9"/>
      <c r="B9"/>
      <c r="C9"/>
      <c r="D9"/>
    </row>
    <row r="10" spans="1:5" ht="16.5" x14ac:dyDescent="0.25">
      <c r="A10"/>
      <c r="B10"/>
      <c r="C10"/>
      <c r="D10"/>
    </row>
    <row r="11" spans="1:5" ht="16.5" x14ac:dyDescent="0.25">
      <c r="A11"/>
      <c r="B11"/>
      <c r="C11"/>
      <c r="D11"/>
    </row>
    <row r="12" spans="1:5" ht="16.5" x14ac:dyDescent="0.25">
      <c r="A12"/>
      <c r="B12"/>
      <c r="C12"/>
      <c r="D12"/>
    </row>
    <row r="13" spans="1:5" ht="16.5" x14ac:dyDescent="0.25">
      <c r="A13"/>
      <c r="B13"/>
      <c r="C13"/>
      <c r="D13"/>
    </row>
    <row r="14" spans="1:5" ht="16.5" x14ac:dyDescent="0.25">
      <c r="A14"/>
      <c r="B14"/>
      <c r="C14"/>
      <c r="D14"/>
    </row>
    <row r="15" spans="1:5" ht="16.5" x14ac:dyDescent="0.25">
      <c r="A15"/>
      <c r="B15"/>
      <c r="C15"/>
      <c r="D15"/>
    </row>
    <row r="16" spans="1:5" ht="16.5" x14ac:dyDescent="0.25">
      <c r="A16"/>
      <c r="B16"/>
      <c r="C16"/>
      <c r="D16"/>
    </row>
    <row r="17" spans="1:4" ht="16.5" x14ac:dyDescent="0.25">
      <c r="A17"/>
      <c r="B17"/>
      <c r="C17"/>
      <c r="D17"/>
    </row>
    <row r="18" spans="1:4" ht="16.5" x14ac:dyDescent="0.25">
      <c r="A18"/>
      <c r="B18"/>
      <c r="C18"/>
      <c r="D18"/>
    </row>
    <row r="19" spans="1:4" ht="16.5" x14ac:dyDescent="0.25">
      <c r="A19"/>
      <c r="B19"/>
      <c r="C19"/>
      <c r="D19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1059-8F5B-4D85-B817-1C429474D70F}">
  <dimension ref="A1:E9"/>
  <sheetViews>
    <sheetView workbookViewId="0">
      <selection activeCell="B7" sqref="B7"/>
    </sheetView>
  </sheetViews>
  <sheetFormatPr defaultRowHeight="15.75" x14ac:dyDescent="0.25"/>
  <cols>
    <col min="1" max="1" width="13.875" style="5" bestFit="1" customWidth="1"/>
    <col min="2" max="5" width="13.25" style="5" bestFit="1" customWidth="1"/>
    <col min="6" max="16384" width="9" style="5"/>
  </cols>
  <sheetData>
    <row r="1" spans="1:5" ht="24" x14ac:dyDescent="0.25">
      <c r="A1" s="41" t="s">
        <v>146</v>
      </c>
      <c r="B1" s="41"/>
      <c r="C1" s="41"/>
      <c r="D1" s="41"/>
      <c r="E1" s="41"/>
    </row>
    <row r="2" spans="1:5" ht="18.75" x14ac:dyDescent="0.25">
      <c r="A2" s="42" t="s">
        <v>145</v>
      </c>
      <c r="B2" s="42"/>
      <c r="C2" s="42"/>
      <c r="D2" s="42"/>
      <c r="E2" s="42"/>
    </row>
    <row r="3" spans="1:5" x14ac:dyDescent="0.25">
      <c r="A3" s="5" t="s">
        <v>23</v>
      </c>
      <c r="B3" s="25" t="s">
        <v>141</v>
      </c>
      <c r="C3" s="25" t="s">
        <v>142</v>
      </c>
      <c r="D3" s="25" t="s">
        <v>143</v>
      </c>
      <c r="E3" s="25" t="s">
        <v>144</v>
      </c>
    </row>
    <row r="4" spans="1:5" x14ac:dyDescent="0.25">
      <c r="A4" s="5" t="s">
        <v>6</v>
      </c>
      <c r="B4" s="26">
        <v>348752</v>
      </c>
      <c r="C4" s="26">
        <v>441587</v>
      </c>
      <c r="D4" s="26">
        <v>387584</v>
      </c>
      <c r="E4" s="26">
        <v>584627</v>
      </c>
    </row>
    <row r="5" spans="1:5" x14ac:dyDescent="0.25">
      <c r="A5" s="5" t="s">
        <v>2</v>
      </c>
      <c r="B5" s="26">
        <v>279001</v>
      </c>
      <c r="C5" s="26">
        <v>357685</v>
      </c>
      <c r="D5" s="26">
        <v>317818</v>
      </c>
      <c r="E5" s="26">
        <v>496932</v>
      </c>
    </row>
    <row r="6" spans="1:5" x14ac:dyDescent="0.25">
      <c r="A6" s="5" t="s">
        <v>3</v>
      </c>
      <c r="B6" s="26">
        <v>206460</v>
      </c>
      <c r="C6" s="26">
        <v>271840</v>
      </c>
      <c r="D6" s="26">
        <v>247898</v>
      </c>
      <c r="E6" s="26">
        <v>367729</v>
      </c>
    </row>
    <row r="7" spans="1:5" x14ac:dyDescent="0.25">
      <c r="A7" s="5" t="s">
        <v>4</v>
      </c>
      <c r="B7" s="26">
        <v>144522</v>
      </c>
      <c r="C7" s="26">
        <v>195724</v>
      </c>
      <c r="D7" s="26">
        <v>180965</v>
      </c>
      <c r="E7" s="26">
        <v>312569</v>
      </c>
    </row>
    <row r="8" spans="1:5" x14ac:dyDescent="0.25">
      <c r="A8" s="5" t="s">
        <v>44</v>
      </c>
      <c r="B8" s="26">
        <v>98274</v>
      </c>
      <c r="C8" s="26">
        <v>127220</v>
      </c>
      <c r="D8" s="26">
        <v>162868</v>
      </c>
      <c r="E8" s="26">
        <v>256306</v>
      </c>
    </row>
    <row r="9" spans="1:5" x14ac:dyDescent="0.25">
      <c r="A9" s="5" t="s">
        <v>21</v>
      </c>
      <c r="B9" s="26">
        <v>63878</v>
      </c>
      <c r="C9" s="26">
        <v>89054</v>
      </c>
      <c r="D9" s="26">
        <v>136809</v>
      </c>
      <c r="E9" s="26">
        <v>179414</v>
      </c>
    </row>
  </sheetData>
  <mergeCells count="2">
    <mergeCell ref="A1:E1"/>
    <mergeCell ref="A2:E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9</vt:i4>
      </vt:variant>
    </vt:vector>
  </HeadingPairs>
  <TitlesOfParts>
    <vt:vector size="15" baseType="lpstr">
      <vt:lpstr>三年各季業績</vt:lpstr>
      <vt:lpstr>烘焙機貸款分析</vt:lpstr>
      <vt:lpstr>銷售統計</vt:lpstr>
      <vt:lpstr>第一季營業額</vt:lpstr>
      <vt:lpstr>銷售分析</vt:lpstr>
      <vt:lpstr>咖啡銷售量</vt:lpstr>
      <vt:lpstr>三年各季業績</vt:lpstr>
      <vt:lpstr>烘焙機貸款分析!年利率</vt:lpstr>
      <vt:lpstr>烘焙機貸款分析!每年支付期數</vt:lpstr>
      <vt:lpstr>烘焙機貸款分析!每期支付本利</vt:lpstr>
      <vt:lpstr>烘焙機貸款分析!每期償付本利</vt:lpstr>
      <vt:lpstr>設備售價</vt:lpstr>
      <vt:lpstr>貸款成數</vt:lpstr>
      <vt:lpstr>烘焙機貸款分析!貸款金額</vt:lpstr>
      <vt:lpstr>機型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ares wang</dc:creator>
  <cp:lastModifiedBy>mermaid</cp:lastModifiedBy>
  <dcterms:created xsi:type="dcterms:W3CDTF">2017-06-26T07:36:09Z</dcterms:created>
  <dcterms:modified xsi:type="dcterms:W3CDTF">2021-04-05T21:08:23Z</dcterms:modified>
</cp:coreProperties>
</file>