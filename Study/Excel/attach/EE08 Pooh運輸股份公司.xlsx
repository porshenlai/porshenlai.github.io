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esktop\Mos 2019\檔案製作\"/>
    </mc:Choice>
  </mc:AlternateContent>
  <xr:revisionPtr revIDLastSave="0" documentId="13_ncr:1_{35F92064-9E78-4E03-B53B-CC4A7E400D80}" xr6:coauthVersionLast="46" xr6:coauthVersionMax="46" xr10:uidLastSave="{00000000-0000-0000-0000-000000000000}"/>
  <bookViews>
    <workbookView xWindow="-108" yWindow="-108" windowWidth="23256" windowHeight="12576" xr2:uid="{98FC150B-6404-4EF0-8E22-A0252E38DD95}"/>
  </bookViews>
  <sheets>
    <sheet name="業務部門" sheetId="1" r:id="rId1"/>
    <sheet name="年度銷售量" sheetId="2" r:id="rId2"/>
    <sheet name="地區銷售量" sheetId="4" r:id="rId3"/>
    <sheet name="業務會議" sheetId="3" r:id="rId4"/>
    <sheet name="銷售摘要" sheetId="5" r:id="rId5"/>
    <sheet name="休假日" sheetId="6" state="hidden" r:id="rId6"/>
  </sheets>
  <definedNames>
    <definedName name="代表編號">年度銷售量!$A$4:$A$25</definedName>
    <definedName name="休假日">休假日!$A$2:$A$28</definedName>
    <definedName name="地區">年度銷售量!$B$4:$B$25</definedName>
    <definedName name="銷售量總計">年度銷售量!$H$4:$H$25</definedName>
  </definedNames>
  <calcPr calcId="191029"/>
  <pivotCaches>
    <pivotCache cacheId="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5" l="1"/>
  <c r="F11" i="5"/>
  <c r="G9" i="5" s="1"/>
  <c r="G5" i="5"/>
  <c r="G6" i="5"/>
  <c r="G7" i="5"/>
  <c r="G8" i="5"/>
  <c r="G10" i="5"/>
  <c r="G4" i="5"/>
</calcChain>
</file>

<file path=xl/sharedStrings.xml><?xml version="1.0" encoding="utf-8"?>
<sst xmlns="http://schemas.openxmlformats.org/spreadsheetml/2006/main" count="144" uniqueCount="85">
  <si>
    <t>代表編號</t>
  </si>
  <si>
    <r>
      <rPr>
        <sz val="12"/>
        <color theme="1"/>
        <rFont val="標楷體"/>
        <family val="4"/>
        <charset val="136"/>
      </rPr>
      <t>黃</t>
    </r>
  </si>
  <si>
    <r>
      <rPr>
        <sz val="12"/>
        <color theme="1"/>
        <rFont val="標楷體"/>
        <family val="4"/>
        <charset val="136"/>
      </rPr>
      <t>家綺</t>
    </r>
  </si>
  <si>
    <r>
      <rPr>
        <sz val="12"/>
        <color theme="1"/>
        <rFont val="標楷體"/>
        <family val="4"/>
        <charset val="136"/>
      </rPr>
      <t>台北市</t>
    </r>
  </si>
  <si>
    <r>
      <rPr>
        <sz val="12"/>
        <color theme="1"/>
        <rFont val="標楷體"/>
        <family val="4"/>
        <charset val="136"/>
      </rPr>
      <t>張</t>
    </r>
  </si>
  <si>
    <r>
      <rPr>
        <sz val="12"/>
        <color theme="1"/>
        <rFont val="標楷體"/>
        <family val="4"/>
        <charset val="136"/>
      </rPr>
      <t>凱翔</t>
    </r>
  </si>
  <si>
    <r>
      <rPr>
        <sz val="12"/>
        <color theme="1"/>
        <rFont val="標楷體"/>
        <family val="4"/>
        <charset val="136"/>
      </rPr>
      <t>新北市</t>
    </r>
  </si>
  <si>
    <r>
      <rPr>
        <sz val="12"/>
        <color theme="1"/>
        <rFont val="標楷體"/>
        <family val="4"/>
        <charset val="136"/>
      </rPr>
      <t>王</t>
    </r>
  </si>
  <si>
    <r>
      <rPr>
        <sz val="12"/>
        <color theme="1"/>
        <rFont val="標楷體"/>
        <family val="4"/>
        <charset val="136"/>
      </rPr>
      <t>嘉慧</t>
    </r>
  </si>
  <si>
    <r>
      <rPr>
        <sz val="12"/>
        <color theme="1"/>
        <rFont val="標楷體"/>
        <family val="4"/>
        <charset val="136"/>
      </rPr>
      <t>台中市</t>
    </r>
  </si>
  <si>
    <r>
      <rPr>
        <sz val="12"/>
        <color theme="1"/>
        <rFont val="標楷體"/>
        <family val="4"/>
        <charset val="136"/>
      </rPr>
      <t>趙</t>
    </r>
  </si>
  <si>
    <r>
      <rPr>
        <sz val="12"/>
        <color theme="1"/>
        <rFont val="標楷體"/>
        <family val="4"/>
        <charset val="136"/>
      </rPr>
      <t>伯夢</t>
    </r>
  </si>
  <si>
    <r>
      <rPr>
        <sz val="12"/>
        <color theme="1"/>
        <rFont val="標楷體"/>
        <family val="4"/>
        <charset val="136"/>
      </rPr>
      <t>嘉義市</t>
    </r>
  </si>
  <si>
    <r>
      <rPr>
        <sz val="12"/>
        <color theme="1"/>
        <rFont val="標楷體"/>
        <family val="4"/>
        <charset val="136"/>
      </rPr>
      <t>柳</t>
    </r>
  </si>
  <si>
    <r>
      <rPr>
        <sz val="12"/>
        <color theme="1"/>
        <rFont val="標楷體"/>
        <family val="4"/>
        <charset val="136"/>
      </rPr>
      <t>怡君</t>
    </r>
  </si>
  <si>
    <r>
      <rPr>
        <sz val="12"/>
        <color theme="1"/>
        <rFont val="標楷體"/>
        <family val="4"/>
        <charset val="136"/>
      </rPr>
      <t>高雄市</t>
    </r>
  </si>
  <si>
    <r>
      <rPr>
        <sz val="12"/>
        <color theme="1"/>
        <rFont val="標楷體"/>
        <family val="4"/>
        <charset val="136"/>
      </rPr>
      <t>蔡</t>
    </r>
  </si>
  <si>
    <r>
      <rPr>
        <sz val="12"/>
        <color theme="1"/>
        <rFont val="標楷體"/>
        <family val="4"/>
        <charset val="136"/>
      </rPr>
      <t>劭發</t>
    </r>
  </si>
  <si>
    <r>
      <rPr>
        <sz val="12"/>
        <color theme="1"/>
        <rFont val="標楷體"/>
        <family val="4"/>
        <charset val="136"/>
      </rPr>
      <t>花蓮縣</t>
    </r>
  </si>
  <si>
    <r>
      <rPr>
        <sz val="12"/>
        <color theme="1"/>
        <rFont val="標楷體"/>
        <family val="4"/>
        <charset val="136"/>
      </rPr>
      <t>吳</t>
    </r>
  </si>
  <si>
    <r>
      <rPr>
        <sz val="12"/>
        <color theme="1"/>
        <rFont val="標楷體"/>
        <family val="4"/>
        <charset val="136"/>
      </rPr>
      <t>建勳</t>
    </r>
  </si>
  <si>
    <r>
      <rPr>
        <sz val="12"/>
        <color theme="1"/>
        <rFont val="標楷體"/>
        <family val="4"/>
        <charset val="136"/>
      </rPr>
      <t>澎湖縣</t>
    </r>
  </si>
  <si>
    <r>
      <t>Pooh</t>
    </r>
    <r>
      <rPr>
        <sz val="18"/>
        <color theme="1"/>
        <rFont val="標楷體"/>
        <family val="4"/>
        <charset val="136"/>
      </rPr>
      <t>運輸有限公司</t>
    </r>
  </si>
  <si>
    <r>
      <rPr>
        <sz val="18"/>
        <color theme="1"/>
        <rFont val="標楷體"/>
        <family val="4"/>
        <charset val="136"/>
      </rPr>
      <t>業務部門</t>
    </r>
  </si>
  <si>
    <t>地區</t>
  </si>
  <si>
    <t>平均</t>
  </si>
  <si>
    <r>
      <t xml:space="preserve">Pooh </t>
    </r>
    <r>
      <rPr>
        <sz val="18"/>
        <color theme="1"/>
        <rFont val="標楷體"/>
        <family val="4"/>
        <charset val="136"/>
      </rPr>
      <t>運輸有限公司</t>
    </r>
  </si>
  <si>
    <r>
      <rPr>
        <sz val="12"/>
        <color theme="1"/>
        <rFont val="標楷體"/>
        <family val="4"/>
        <charset val="136"/>
      </rPr>
      <t xml:space="preserve">平均銷售量
</t>
    </r>
    <r>
      <rPr>
        <sz val="12"/>
        <color theme="1"/>
        <rFont val="Arial"/>
        <family val="2"/>
      </rPr>
      <t>(</t>
    </r>
    <r>
      <rPr>
        <sz val="12"/>
        <color theme="1"/>
        <rFont val="標楷體"/>
        <family val="4"/>
        <charset val="136"/>
      </rPr>
      <t>依地區和代表編號分類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</si>
  <si>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標楷體"/>
        <family val="4"/>
        <charset val="136"/>
      </rPr>
      <t>北部</t>
    </r>
  </si>
  <si>
    <r>
      <rPr>
        <sz val="12"/>
        <color theme="1"/>
        <rFont val="標楷體"/>
        <family val="4"/>
        <charset val="136"/>
      </rPr>
      <t>基隆市</t>
    </r>
  </si>
  <si>
    <r>
      <rPr>
        <sz val="12"/>
        <color theme="1"/>
        <rFont val="標楷體"/>
        <family val="4"/>
        <charset val="136"/>
      </rPr>
      <t>桃園縣</t>
    </r>
  </si>
  <si>
    <r>
      <rPr>
        <sz val="12"/>
        <color theme="1"/>
        <rFont val="標楷體"/>
        <family val="4"/>
        <charset val="136"/>
      </rPr>
      <t>中部</t>
    </r>
  </si>
  <si>
    <r>
      <rPr>
        <sz val="12"/>
        <color theme="1"/>
        <rFont val="標楷體"/>
        <family val="4"/>
        <charset val="136"/>
      </rPr>
      <t>苗栗縣</t>
    </r>
  </si>
  <si>
    <r>
      <rPr>
        <sz val="12"/>
        <color theme="1"/>
        <rFont val="標楷體"/>
        <family val="4"/>
        <charset val="136"/>
      </rPr>
      <t>南部</t>
    </r>
  </si>
  <si>
    <r>
      <rPr>
        <sz val="12"/>
        <color theme="1"/>
        <rFont val="標楷體"/>
        <family val="4"/>
        <charset val="136"/>
      </rPr>
      <t>新竹市</t>
    </r>
  </si>
  <si>
    <r>
      <rPr>
        <sz val="12"/>
        <color theme="1"/>
        <rFont val="標楷體"/>
        <family val="4"/>
        <charset val="136"/>
      </rPr>
      <t>新竹縣</t>
    </r>
  </si>
  <si>
    <r>
      <rPr>
        <sz val="12"/>
        <color theme="1"/>
        <rFont val="標楷體"/>
        <family val="4"/>
        <charset val="136"/>
      </rPr>
      <t>東部</t>
    </r>
  </si>
  <si>
    <r>
      <rPr>
        <sz val="12"/>
        <color theme="1"/>
        <rFont val="標楷體"/>
        <family val="4"/>
        <charset val="136"/>
      </rPr>
      <t>嘉義縣</t>
    </r>
  </si>
  <si>
    <r>
      <rPr>
        <sz val="12"/>
        <color theme="1"/>
        <rFont val="標楷體"/>
        <family val="4"/>
        <charset val="136"/>
      </rPr>
      <t>離島</t>
    </r>
  </si>
  <si>
    <r>
      <rPr>
        <sz val="12"/>
        <color theme="1"/>
        <rFont val="標楷體"/>
        <family val="4"/>
        <charset val="136"/>
      </rPr>
      <t>彰化縣</t>
    </r>
  </si>
  <si>
    <r>
      <rPr>
        <sz val="12"/>
        <color theme="1"/>
        <rFont val="標楷體"/>
        <family val="4"/>
        <charset val="136"/>
      </rPr>
      <t>南投縣</t>
    </r>
  </si>
  <si>
    <r>
      <rPr>
        <sz val="12"/>
        <color theme="1"/>
        <rFont val="標楷體"/>
        <family val="4"/>
        <charset val="136"/>
      </rPr>
      <t>雲林縣</t>
    </r>
  </si>
  <si>
    <r>
      <rPr>
        <sz val="12"/>
        <color theme="1"/>
        <rFont val="標楷體"/>
        <family val="4"/>
        <charset val="136"/>
      </rPr>
      <t>台南市</t>
    </r>
  </si>
  <si>
    <r>
      <rPr>
        <sz val="12"/>
        <color theme="1"/>
        <rFont val="標楷體"/>
        <family val="4"/>
        <charset val="136"/>
      </rPr>
      <t>屏東縣</t>
    </r>
  </si>
  <si>
    <r>
      <rPr>
        <sz val="12"/>
        <color theme="1"/>
        <rFont val="標楷體"/>
        <family val="4"/>
        <charset val="136"/>
      </rPr>
      <t>台東縣</t>
    </r>
  </si>
  <si>
    <r>
      <rPr>
        <sz val="12"/>
        <color theme="1"/>
        <rFont val="標楷體"/>
        <family val="4"/>
        <charset val="136"/>
      </rPr>
      <t>宜蘭縣</t>
    </r>
  </si>
  <si>
    <r>
      <rPr>
        <sz val="12"/>
        <color theme="1"/>
        <rFont val="標楷體"/>
        <family val="4"/>
        <charset val="136"/>
      </rPr>
      <t>金門縣</t>
    </r>
  </si>
  <si>
    <r>
      <rPr>
        <sz val="12"/>
        <color theme="1"/>
        <rFont val="標楷體"/>
        <family val="4"/>
        <charset val="136"/>
      </rPr>
      <t>連江縣</t>
    </r>
  </si>
  <si>
    <r>
      <rPr>
        <sz val="14"/>
        <color theme="1"/>
        <rFont val="標楷體"/>
        <family val="4"/>
        <charset val="136"/>
      </rPr>
      <t>銷售量</t>
    </r>
  </si>
  <si>
    <t>銷售量總計</t>
    <phoneticPr fontId="2" type="noConversion"/>
  </si>
  <si>
    <r>
      <t xml:space="preserve">Pooh </t>
    </r>
    <r>
      <rPr>
        <sz val="12"/>
        <color theme="1"/>
        <rFont val="標楷體"/>
        <family val="4"/>
        <charset val="136"/>
      </rPr>
      <t>運輸有限公司</t>
    </r>
  </si>
  <si>
    <r>
      <rPr>
        <b/>
        <sz val="12"/>
        <color theme="9" tint="-0.499984740745262"/>
        <rFont val="標楷體"/>
        <family val="4"/>
        <charset val="136"/>
      </rPr>
      <t>代表編號</t>
    </r>
  </si>
  <si>
    <r>
      <rPr>
        <b/>
        <sz val="12"/>
        <color theme="9" tint="-0.499984740745262"/>
        <rFont val="標楷體"/>
        <family val="4"/>
        <charset val="136"/>
      </rPr>
      <t>地區</t>
    </r>
  </si>
  <si>
    <r>
      <rPr>
        <b/>
        <sz val="12"/>
        <color theme="9" tint="-0.499984740745262"/>
        <rFont val="標楷體"/>
        <family val="4"/>
        <charset val="136"/>
      </rPr>
      <t>區域名稱</t>
    </r>
  </si>
  <si>
    <r>
      <rPr>
        <b/>
        <sz val="12"/>
        <color theme="9" tint="-0.499984740745262"/>
        <rFont val="標楷體"/>
        <family val="4"/>
        <charset val="136"/>
      </rPr>
      <t>會議日期</t>
    </r>
  </si>
  <si>
    <r>
      <rPr>
        <b/>
        <sz val="12"/>
        <color theme="9" tint="-0.499984740745262"/>
        <rFont val="標楷體"/>
        <family val="4"/>
        <charset val="136"/>
      </rPr>
      <t>地點</t>
    </r>
  </si>
  <si>
    <r>
      <rPr>
        <sz val="14"/>
        <color theme="1"/>
        <rFont val="標楷體"/>
        <family val="4"/>
        <charset val="136"/>
      </rPr>
      <t>會議時間表</t>
    </r>
  </si>
  <si>
    <r>
      <rPr>
        <sz val="12"/>
        <color theme="1"/>
        <rFont val="標楷體"/>
        <family val="4"/>
        <charset val="136"/>
      </rPr>
      <t>銷售摘要</t>
    </r>
    <r>
      <rPr>
        <sz val="12"/>
        <color theme="1"/>
        <rFont val="Airal"/>
        <family val="2"/>
      </rPr>
      <t xml:space="preserve"> (</t>
    </r>
    <r>
      <rPr>
        <sz val="12"/>
        <color theme="1"/>
        <rFont val="標楷體"/>
        <family val="4"/>
        <charset val="136"/>
      </rPr>
      <t>依代表分類</t>
    </r>
    <r>
      <rPr>
        <sz val="12"/>
        <color theme="1"/>
        <rFont val="Airal"/>
        <family val="2"/>
      </rPr>
      <t>)</t>
    </r>
  </si>
  <si>
    <r>
      <rPr>
        <b/>
        <sz val="12"/>
        <color theme="9" tint="-0.499984740745262"/>
        <rFont val="標楷體"/>
        <family val="4"/>
        <charset val="136"/>
      </rPr>
      <t>代表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</si>
  <si>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iral"/>
        <family val="2"/>
      </rPr>
      <t xml:space="preserve"> 1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</si>
  <si>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iral"/>
        <family val="2"/>
      </rPr>
      <t xml:space="preserve"> 2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</si>
  <si>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iral"/>
        <family val="2"/>
      </rPr>
      <t xml:space="preserve"> 3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</si>
  <si>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iral"/>
        <family val="2"/>
      </rPr>
      <t xml:space="preserve"> 4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</si>
  <si>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銷售總計</t>
    </r>
  </si>
  <si>
    <r>
      <rPr>
        <b/>
        <sz val="12"/>
        <color theme="9" tint="-0.499984740745262"/>
        <rFont val="標楷體"/>
        <family val="4"/>
        <charset val="136"/>
      </rPr>
      <t>總計百分比</t>
    </r>
  </si>
  <si>
    <r>
      <rPr>
        <b/>
        <sz val="12"/>
        <color theme="1"/>
        <rFont val="標楷體"/>
        <family val="4"/>
        <charset val="136"/>
      </rPr>
      <t>總銷售量</t>
    </r>
  </si>
  <si>
    <t>縣市</t>
    <phoneticPr fontId="2" type="noConversion"/>
  </si>
  <si>
    <r>
      <rPr>
        <b/>
        <sz val="12"/>
        <color theme="9" tint="-0.499984740745262"/>
        <rFont val="標楷體"/>
        <family val="4"/>
        <charset val="136"/>
      </rPr>
      <t>姓氏</t>
    </r>
  </si>
  <si>
    <r>
      <rPr>
        <b/>
        <sz val="12"/>
        <color theme="9" tint="-0.499984740745262"/>
        <rFont val="標楷體"/>
        <family val="4"/>
        <charset val="136"/>
      </rPr>
      <t>名字</t>
    </r>
  </si>
  <si>
    <r>
      <rPr>
        <b/>
        <sz val="12"/>
        <color theme="9" tint="-0.499984740745262"/>
        <rFont val="標楷體"/>
        <family val="4"/>
        <charset val="136"/>
      </rPr>
      <t>城市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</si>
  <si>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rial"/>
        <family val="2"/>
      </rPr>
      <t xml:space="preserve"> 1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</si>
  <si>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rial"/>
        <family val="2"/>
      </rPr>
      <t xml:space="preserve"> 2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</si>
  <si>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rial"/>
        <family val="2"/>
      </rPr>
      <t xml:space="preserve"> 3 </t>
    </r>
    <r>
      <rPr>
        <b/>
        <sz val="12"/>
        <color theme="9" tint="-0.499984740745262"/>
        <rFont val="標楷體"/>
        <family val="4"/>
        <charset val="136"/>
      </rPr>
      <t>季</t>
    </r>
  </si>
  <si>
    <r>
      <rPr>
        <b/>
        <sz val="12"/>
        <color theme="9" tint="-0.499984740745262"/>
        <rFont val="標楷體"/>
        <family val="4"/>
        <charset val="136"/>
      </rPr>
      <t>第</t>
    </r>
    <r>
      <rPr>
        <b/>
        <sz val="12"/>
        <color theme="9" tint="-0.499984740745262"/>
        <rFont val="Arial"/>
        <family val="2"/>
      </rPr>
      <t xml:space="preserve"> 4 </t>
    </r>
    <r>
      <rPr>
        <b/>
        <sz val="12"/>
        <color theme="9" tint="-0.499984740745262"/>
        <rFont val="標楷體"/>
        <family val="4"/>
        <charset val="136"/>
      </rPr>
      <t>季</t>
    </r>
  </si>
  <si>
    <t>報名期限</t>
    <phoneticPr fontId="2" type="noConversion"/>
  </si>
  <si>
    <t>特別休假日，請勿安排行程</t>
    <phoneticPr fontId="2" type="noConversion"/>
  </si>
  <si>
    <t>列標籤</t>
  </si>
  <si>
    <t>加總 - 銷售量總計</t>
  </si>
  <si>
    <t>中部</t>
  </si>
  <si>
    <t>北部</t>
  </si>
  <si>
    <t>東部</t>
  </si>
  <si>
    <t>南部</t>
  </si>
  <si>
    <t>離島</t>
  </si>
  <si>
    <t>總計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</si>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</sst>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76" formatCode="_-* #,##0_-;\-* #,##0_-;_-* &quot;-&quot;??_-;_-@_-"/>
    <numFmt numFmtId="177" formatCode="0.00_ "/>
  </numFmts>
  <fonts count="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標楷體"/>
      <family val="4"/>
      <charset val="136"/>
    </font>
    <font>
      <sz val="18"/>
      <color theme="1"/>
      <name val="Arial"/>
      <family val="2"/>
    </font>
    <font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9" tint="-0.499984740745262"/>
      <name val="標楷體"/>
      <family val="4"/>
      <charset val="136"/>
    </font>
    <font>
      <sz val="12"/>
      <color theme="1"/>
      <name val="Airal"/>
    </font>
    <font>
      <sz val="12"/>
      <color theme="1"/>
      <name val="Airal"/>
      <family val="2"/>
    </font>
    <font>
      <b/>
      <sz val="12"/>
      <color theme="9" tint="-0.499984740745262"/>
      <name val="Airal"/>
      <family val="2"/>
    </font>
    <font>
      <sz val="14"/>
      <color theme="1"/>
      <name val="Airal"/>
    </font>
    <font>
      <sz val="18"/>
      <color theme="1"/>
      <name val="Airal"/>
    </font>
    <font>
      <b/>
      <sz val="12"/>
      <color theme="1"/>
      <name val="Airal"/>
      <family val="2"/>
    </font>
    <font>
      <b/>
      <sz val="12"/>
      <color theme="9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/>
      <top style="thin">
        <color theme="9" tint="-0.249977111117893"/>
      </top>
      <bottom style="double">
        <color theme="9" tint="-0.24997711111789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4" fillId="2" borderId="0" xfId="0" applyFont="1" applyFill="1" applyAlignment="1">
      <alignment horizontal="centerContinuous"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176" fontId="4" fillId="0" borderId="0" xfId="1" applyNumberFormat="1" applyFont="1">
      <alignment vertical="center"/>
    </xf>
    <xf numFmtId="0" fontId="4" fillId="2" borderId="0" xfId="0" applyFont="1" applyFill="1" applyAlignment="1">
      <alignment horizontal="centerContinuous" vertical="center" wrapText="1"/>
    </xf>
    <xf numFmtId="0" fontId="4" fillId="0" borderId="0" xfId="0" pivotButton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1" xfId="0" applyFont="1" applyBorder="1">
      <alignment vertical="center"/>
    </xf>
    <xf numFmtId="0" fontId="11" fillId="2" borderId="0" xfId="0" applyFont="1" applyFill="1" applyAlignment="1">
      <alignment horizontal="centerContinuous" vertical="center"/>
    </xf>
    <xf numFmtId="0" fontId="14" fillId="2" borderId="0" xfId="0" applyFont="1" applyFill="1" applyAlignment="1">
      <alignment horizontal="centerContinuous" vertical="center"/>
    </xf>
    <xf numFmtId="0" fontId="15" fillId="2" borderId="0" xfId="0" applyFont="1" applyFill="1" applyAlignment="1">
      <alignment horizontal="centerContinuous" vertical="center"/>
    </xf>
    <xf numFmtId="14" fontId="12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>
      <alignment vertical="center"/>
    </xf>
    <xf numFmtId="9" fontId="12" fillId="0" borderId="0" xfId="2" applyFont="1">
      <alignment vertical="center"/>
    </xf>
    <xf numFmtId="9" fontId="12" fillId="0" borderId="2" xfId="2" applyFont="1" applyBorder="1">
      <alignment vertical="center"/>
    </xf>
    <xf numFmtId="176" fontId="12" fillId="0" borderId="0" xfId="1" applyNumberFormat="1" applyFont="1">
      <alignment vertical="center"/>
    </xf>
    <xf numFmtId="176" fontId="12" fillId="0" borderId="2" xfId="1" applyNumberFormat="1" applyFont="1" applyBorder="1">
      <alignment vertical="center"/>
    </xf>
    <xf numFmtId="0" fontId="16" fillId="0" borderId="2" xfId="0" applyFont="1" applyBorder="1">
      <alignment vertical="center"/>
    </xf>
    <xf numFmtId="177" fontId="4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56"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theme="9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Airal"/>
        <family val="2"/>
        <scheme val="none"/>
      </font>
      <alignment horizontal="center" vertical="center" textRotation="0" wrapText="0" indent="0" justifyLastLine="0" shrinkToFit="0" readingOrder="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7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1" defaultTableStyle="TableStyleMedium2" defaultPivotStyle="PivotStyleLight16">
    <tableStyle name="Invisible" pivot="0" table="0" count="0" xr9:uid="{0BE8E148-650B-4F75-B71D-5B9A0FA59D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onne" refreshedDate="44328.941512731479" createdVersion="7" refreshedVersion="7" minRefreshableVersion="3" recordCount="22" xr:uid="{FEB68D18-2C3A-453A-AE2D-60BDAA820E53}">
  <cacheSource type="worksheet">
    <worksheetSource ref="A3:H25" sheet="年度銷售量"/>
  </cacheSource>
  <cacheFields count="8">
    <cacheField name="代表編號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地區" numFmtId="0">
      <sharedItems count="5">
        <s v="北部"/>
        <s v="中部"/>
        <s v="南部"/>
        <s v="東部"/>
        <s v="離島"/>
      </sharedItems>
    </cacheField>
    <cacheField name="縣市" numFmtId="0">
      <sharedItems count="22">
        <s v="基隆市"/>
        <s v="台北市"/>
        <s v="新北市"/>
        <s v="桃園縣"/>
        <s v="苗栗縣"/>
        <s v="台中市"/>
        <s v="新竹市"/>
        <s v="新竹縣"/>
        <s v="嘉義市"/>
        <s v="嘉義縣"/>
        <s v="彰化縣"/>
        <s v="南投縣"/>
        <s v="雲林縣"/>
        <s v="台南市"/>
        <s v="高雄市"/>
        <s v="屏東縣"/>
        <s v="台東縣"/>
        <s v="花蓮縣"/>
        <s v="宜蘭縣"/>
        <s v="澎湖縣"/>
        <s v="金門縣"/>
        <s v="連江縣"/>
      </sharedItems>
    </cacheField>
    <cacheField name="第 1 季" numFmtId="176">
      <sharedItems containsSemiMixedTypes="0" containsString="0" containsNumber="1" containsInteger="1" minValue="1045" maxValue="9856"/>
    </cacheField>
    <cacheField name="第 2 季" numFmtId="176">
      <sharedItems containsSemiMixedTypes="0" containsString="0" containsNumber="1" containsInteger="1" minValue="1676" maxValue="9447"/>
    </cacheField>
    <cacheField name="第 3 季" numFmtId="176">
      <sharedItems containsSemiMixedTypes="0" containsString="0" containsNumber="1" containsInteger="1" minValue="1888" maxValue="9652"/>
    </cacheField>
    <cacheField name="第 4 季" numFmtId="176">
      <sharedItems containsSemiMixedTypes="0" containsString="0" containsNumber="1" containsInteger="1" minValue="1718" maxValue="9865"/>
    </cacheField>
    <cacheField name="銷售量總計" numFmtId="176">
      <sharedItems containsSemiMixedTypes="0" containsString="0" containsNumber="1" containsInteger="1" minValue="10593" maxValue="360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4137"/>
    <n v="7761"/>
    <n v="8981"/>
    <n v="2496"/>
    <n v="23375"/>
  </r>
  <r>
    <x v="0"/>
    <x v="0"/>
    <x v="1"/>
    <n v="2020"/>
    <n v="7835"/>
    <n v="9629"/>
    <n v="8004"/>
    <n v="27488"/>
  </r>
  <r>
    <x v="1"/>
    <x v="0"/>
    <x v="2"/>
    <n v="3141"/>
    <n v="9372"/>
    <n v="6850"/>
    <n v="7529"/>
    <n v="26892"/>
  </r>
  <r>
    <x v="1"/>
    <x v="0"/>
    <x v="3"/>
    <n v="6824"/>
    <n v="5514"/>
    <n v="7084"/>
    <n v="4346"/>
    <n v="23768"/>
  </r>
  <r>
    <x v="2"/>
    <x v="1"/>
    <x v="4"/>
    <n v="2042"/>
    <n v="5160"/>
    <n v="9064"/>
    <n v="3414"/>
    <n v="19680"/>
  </r>
  <r>
    <x v="2"/>
    <x v="1"/>
    <x v="5"/>
    <n v="2293"/>
    <n v="5349"/>
    <n v="1926"/>
    <n v="2009"/>
    <n v="11577"/>
  </r>
  <r>
    <x v="2"/>
    <x v="0"/>
    <x v="6"/>
    <n v="3342"/>
    <n v="2363"/>
    <n v="2786"/>
    <n v="2102"/>
    <n v="10593"/>
  </r>
  <r>
    <x v="2"/>
    <x v="0"/>
    <x v="7"/>
    <n v="1854"/>
    <n v="6244"/>
    <n v="1888"/>
    <n v="7551"/>
    <n v="17537"/>
  </r>
  <r>
    <x v="3"/>
    <x v="2"/>
    <x v="8"/>
    <n v="9856"/>
    <n v="7800"/>
    <n v="9652"/>
    <n v="8760"/>
    <n v="36068"/>
  </r>
  <r>
    <x v="3"/>
    <x v="2"/>
    <x v="9"/>
    <n v="7745"/>
    <n v="1786"/>
    <n v="7415"/>
    <n v="2943"/>
    <n v="19889"/>
  </r>
  <r>
    <x v="3"/>
    <x v="1"/>
    <x v="10"/>
    <n v="3078"/>
    <n v="2127"/>
    <n v="9075"/>
    <n v="9865"/>
    <n v="24145"/>
  </r>
  <r>
    <x v="3"/>
    <x v="1"/>
    <x v="11"/>
    <n v="1082"/>
    <n v="1676"/>
    <n v="8750"/>
    <n v="4629"/>
    <n v="16137"/>
  </r>
  <r>
    <x v="3"/>
    <x v="1"/>
    <x v="12"/>
    <n v="1884"/>
    <n v="9447"/>
    <n v="8595"/>
    <n v="2713"/>
    <n v="22639"/>
  </r>
  <r>
    <x v="4"/>
    <x v="2"/>
    <x v="13"/>
    <n v="8603"/>
    <n v="5353"/>
    <n v="9066"/>
    <n v="6361"/>
    <n v="29383"/>
  </r>
  <r>
    <x v="4"/>
    <x v="2"/>
    <x v="14"/>
    <n v="7180"/>
    <n v="8351"/>
    <n v="3175"/>
    <n v="1718"/>
    <n v="20424"/>
  </r>
  <r>
    <x v="4"/>
    <x v="2"/>
    <x v="15"/>
    <n v="1045"/>
    <n v="7210"/>
    <n v="8135"/>
    <n v="7056"/>
    <n v="23446"/>
  </r>
  <r>
    <x v="5"/>
    <x v="3"/>
    <x v="16"/>
    <n v="6359"/>
    <n v="1951"/>
    <n v="6596"/>
    <n v="9301"/>
    <n v="24207"/>
  </r>
  <r>
    <x v="5"/>
    <x v="3"/>
    <x v="17"/>
    <n v="2458"/>
    <n v="4870"/>
    <n v="4319"/>
    <n v="7365"/>
    <n v="19012"/>
  </r>
  <r>
    <x v="5"/>
    <x v="3"/>
    <x v="18"/>
    <n v="3720"/>
    <n v="4008"/>
    <n v="7645"/>
    <n v="1784"/>
    <n v="17157"/>
  </r>
  <r>
    <x v="6"/>
    <x v="4"/>
    <x v="19"/>
    <n v="2169"/>
    <n v="7508"/>
    <n v="8964"/>
    <n v="8876"/>
    <n v="27517"/>
  </r>
  <r>
    <x v="6"/>
    <x v="4"/>
    <x v="20"/>
    <n v="8699"/>
    <n v="1992"/>
    <n v="7071"/>
    <n v="5810"/>
    <n v="23572"/>
  </r>
  <r>
    <x v="6"/>
    <x v="4"/>
    <x v="21"/>
    <n v="3668"/>
    <n v="7680"/>
    <n v="8062"/>
    <n v="4602"/>
    <n v="24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0C181-2B65-49EA-9477-D6B4A52723FB}" name="樞紐分析表5" cacheId="5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8"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>
      <items count="23">
        <item x="5"/>
        <item x="1"/>
        <item x="16"/>
        <item x="13"/>
        <item x="18"/>
        <item x="17"/>
        <item x="20"/>
        <item x="11"/>
        <item x="15"/>
        <item x="4"/>
        <item x="3"/>
        <item x="14"/>
        <item x="0"/>
        <item x="21"/>
        <item x="12"/>
        <item x="2"/>
        <item x="6"/>
        <item x="7"/>
        <item x="8"/>
        <item x="9"/>
        <item x="10"/>
        <item x="19"/>
        <item t="default"/>
      </items>
    </pivotField>
    <pivotField numFmtId="176" showAll="0"/>
    <pivotField numFmtId="176" showAll="0"/>
    <pivotField numFmtId="176" showAll="0"/>
    <pivotField numFmtId="176" showAll="0"/>
    <pivotField dataField="1" numFmtId="176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加總 - 銷售量總計" fld="7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05032-3B8E-4808-91A6-5F367618932F}" name="表格1" displayName="表格1" ref="J4:L13" totalsRowShown="0" headerRowDxfId="55" dataDxfId="54">
  <autoFilter ref="J4:L13" xr:uid="{A8021F82-1355-43E0-8E84-AFB42E7C94AB}"/>
  <tableColumns count="3">
    <tableColumn id="1" xr3:uid="{32B15988-2DF0-439F-A80B-FC3B3D83455E}" name="地區" dataDxfId="53"/>
    <tableColumn id="2" xr3:uid="{C0934EA7-A05F-43FF-8863-277132883955}" name="代表編號" dataDxfId="52"/>
    <tableColumn id="3" xr3:uid="{2E4916F4-9E4D-4069-9D1D-F0101B0912EF}" name="平均" dataDxfId="51"/>
  </tableColumns>
  <tableStyleInfo name="TableStyleLight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063F4-413E-467D-8A87-6E2512EB882B}" name="表格2" displayName="表格2" ref="A3:F10" totalsRowShown="0" headerRowDxfId="44" dataDxfId="42" headerRowBorderDxfId="43">
  <autoFilter ref="A3:F10" xr:uid="{58A792F0-3A57-4AF3-956E-078D84DFD8C6}"/>
  <tableColumns count="6">
    <tableColumn id="1" xr3:uid="{EB4D2D71-2B72-4F46-920E-33A2EBB1E2FE}" name="代表編號" dataDxfId="41"/>
    <tableColumn id="2" xr3:uid="{C61CD5C4-3201-4D87-AADB-D4EDECBDF0D0}" name="地區" dataDxfId="40"/>
    <tableColumn id="3" xr3:uid="{1C106B52-912E-4874-9639-2F7EA1CFF393}" name="區域名稱" dataDxfId="38"/>
    <tableColumn id="4" xr3:uid="{B1C357C7-3E2E-43A1-AEE4-187EBB88AA59}" name="報名期限" dataDxfId="36"/>
    <tableColumn id="5" xr3:uid="{E79A608D-B582-4345-8066-2EB52A996E04}" name="會議日期" dataDxfId="37"/>
    <tableColumn id="6" xr3:uid="{94674063-FE96-4833-9A54-C7F97C38FD2B}" name="地點" dataDxfId="3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01C9-51A3-4B5B-8024-16EF0F5747FF}">
  <dimension ref="A1:D10"/>
  <sheetViews>
    <sheetView tabSelected="1" workbookViewId="0"/>
  </sheetViews>
  <sheetFormatPr defaultRowHeight="16.2"/>
  <cols>
    <col min="1" max="1" width="15.77734375" customWidth="1"/>
    <col min="2" max="3" width="10.77734375" customWidth="1"/>
    <col min="4" max="4" width="15.77734375" customWidth="1"/>
  </cols>
  <sheetData>
    <row r="1" spans="1:4" ht="24.6">
      <c r="A1" s="4" t="s">
        <v>22</v>
      </c>
      <c r="B1" s="1"/>
      <c r="C1" s="1"/>
      <c r="D1" s="1"/>
    </row>
    <row r="2" spans="1:4" ht="24.6">
      <c r="A2" s="4" t="s">
        <v>23</v>
      </c>
      <c r="B2" s="1"/>
      <c r="C2" s="1"/>
      <c r="D2" s="1"/>
    </row>
    <row r="3" spans="1:4" ht="16.8" thickBot="1">
      <c r="A3" s="26" t="s">
        <v>51</v>
      </c>
      <c r="B3" s="26" t="s">
        <v>67</v>
      </c>
      <c r="C3" s="26" t="s">
        <v>68</v>
      </c>
      <c r="D3" s="26" t="s">
        <v>69</v>
      </c>
    </row>
    <row r="4" spans="1:4">
      <c r="A4" s="5">
        <v>1</v>
      </c>
      <c r="B4" s="5" t="s">
        <v>1</v>
      </c>
      <c r="C4" s="5" t="s">
        <v>2</v>
      </c>
      <c r="D4" s="5" t="s">
        <v>3</v>
      </c>
    </row>
    <row r="5" spans="1:4">
      <c r="A5" s="5">
        <v>2</v>
      </c>
      <c r="B5" s="5" t="s">
        <v>4</v>
      </c>
      <c r="C5" s="5" t="s">
        <v>5</v>
      </c>
      <c r="D5" s="5" t="s">
        <v>6</v>
      </c>
    </row>
    <row r="6" spans="1:4">
      <c r="A6" s="5">
        <v>3</v>
      </c>
      <c r="B6" s="5" t="s">
        <v>7</v>
      </c>
      <c r="C6" s="5" t="s">
        <v>8</v>
      </c>
      <c r="D6" s="5" t="s">
        <v>9</v>
      </c>
    </row>
    <row r="7" spans="1:4">
      <c r="A7" s="5">
        <v>4</v>
      </c>
      <c r="B7" s="5" t="s">
        <v>10</v>
      </c>
      <c r="C7" s="5" t="s">
        <v>11</v>
      </c>
      <c r="D7" s="5" t="s">
        <v>12</v>
      </c>
    </row>
    <row r="8" spans="1:4">
      <c r="A8" s="5">
        <v>5</v>
      </c>
      <c r="B8" s="5" t="s">
        <v>13</v>
      </c>
      <c r="C8" s="5" t="s">
        <v>14</v>
      </c>
      <c r="D8" s="5" t="s">
        <v>15</v>
      </c>
    </row>
    <row r="9" spans="1:4">
      <c r="A9" s="5">
        <v>6</v>
      </c>
      <c r="B9" s="5" t="s">
        <v>16</v>
      </c>
      <c r="C9" s="5" t="s">
        <v>17</v>
      </c>
      <c r="D9" s="5" t="s">
        <v>18</v>
      </c>
    </row>
    <row r="10" spans="1:4">
      <c r="A10" s="5">
        <v>7</v>
      </c>
      <c r="B10" s="5" t="s">
        <v>19</v>
      </c>
      <c r="C10" s="5" t="s">
        <v>20</v>
      </c>
      <c r="D10" s="5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8307-1160-4B6E-8B24-320BD363CA21}">
  <dimension ref="A1:L25"/>
  <sheetViews>
    <sheetView workbookViewId="0"/>
  </sheetViews>
  <sheetFormatPr defaultRowHeight="15"/>
  <cols>
    <col min="1" max="1" width="15.77734375" style="2" customWidth="1"/>
    <col min="2" max="2" width="8.88671875" style="2"/>
    <col min="3" max="3" width="10.77734375" style="2" customWidth="1"/>
    <col min="4" max="8" width="12.77734375" style="2" customWidth="1"/>
    <col min="9" max="10" width="8.88671875" style="2"/>
    <col min="11" max="12" width="12.77734375" style="2" customWidth="1"/>
    <col min="13" max="16384" width="8.88671875" style="2"/>
  </cols>
  <sheetData>
    <row r="1" spans="1:12" ht="24.6">
      <c r="A1" s="4" t="s">
        <v>26</v>
      </c>
      <c r="B1" s="1"/>
      <c r="C1" s="1"/>
      <c r="D1" s="1"/>
      <c r="E1" s="1"/>
      <c r="F1" s="1"/>
      <c r="G1" s="1"/>
      <c r="H1" s="1"/>
    </row>
    <row r="2" spans="1:12" ht="19.8">
      <c r="A2" s="3" t="s">
        <v>48</v>
      </c>
      <c r="B2" s="1"/>
      <c r="C2" s="1"/>
      <c r="D2" s="1"/>
      <c r="E2" s="1"/>
      <c r="F2" s="1"/>
      <c r="G2" s="1"/>
      <c r="H2" s="1"/>
    </row>
    <row r="3" spans="1:12" ht="33" thickBot="1">
      <c r="A3" s="27" t="s">
        <v>51</v>
      </c>
      <c r="B3" s="27" t="s">
        <v>52</v>
      </c>
      <c r="C3" s="28" t="s">
        <v>66</v>
      </c>
      <c r="D3" s="27" t="s">
        <v>70</v>
      </c>
      <c r="E3" s="27" t="s">
        <v>71</v>
      </c>
      <c r="F3" s="27" t="s">
        <v>72</v>
      </c>
      <c r="G3" s="27" t="s">
        <v>73</v>
      </c>
      <c r="H3" s="28" t="s">
        <v>49</v>
      </c>
      <c r="J3" s="7" t="s">
        <v>27</v>
      </c>
      <c r="K3" s="1"/>
      <c r="L3" s="1"/>
    </row>
    <row r="4" spans="1:12" ht="16.2">
      <c r="A4" s="5">
        <v>1</v>
      </c>
      <c r="B4" s="5" t="s">
        <v>28</v>
      </c>
      <c r="C4" s="5" t="s">
        <v>29</v>
      </c>
      <c r="D4" s="6">
        <v>4137</v>
      </c>
      <c r="E4" s="6">
        <v>7761</v>
      </c>
      <c r="F4" s="6">
        <v>8981</v>
      </c>
      <c r="G4" s="6">
        <v>2496</v>
      </c>
      <c r="H4" s="6">
        <v>23375</v>
      </c>
      <c r="J4" s="2" t="s">
        <v>24</v>
      </c>
      <c r="K4" s="2" t="s">
        <v>0</v>
      </c>
      <c r="L4" s="2" t="s">
        <v>25</v>
      </c>
    </row>
    <row r="5" spans="1:12" ht="16.2">
      <c r="A5" s="5">
        <v>1</v>
      </c>
      <c r="B5" s="5" t="s">
        <v>28</v>
      </c>
      <c r="C5" s="5" t="s">
        <v>3</v>
      </c>
      <c r="D5" s="6">
        <v>2020</v>
      </c>
      <c r="E5" s="6">
        <v>7835</v>
      </c>
      <c r="F5" s="6">
        <v>9629</v>
      </c>
      <c r="G5" s="6">
        <v>8004</v>
      </c>
      <c r="H5" s="6">
        <v>27488</v>
      </c>
      <c r="J5" s="2" t="s">
        <v>28</v>
      </c>
      <c r="K5" s="2">
        <v>1</v>
      </c>
      <c r="L5" s="25"/>
    </row>
    <row r="6" spans="1:12" ht="16.2">
      <c r="A6" s="5">
        <v>2</v>
      </c>
      <c r="B6" s="5" t="s">
        <v>28</v>
      </c>
      <c r="C6" s="5" t="s">
        <v>6</v>
      </c>
      <c r="D6" s="6">
        <v>3141</v>
      </c>
      <c r="E6" s="6">
        <v>9372</v>
      </c>
      <c r="F6" s="6">
        <v>6850</v>
      </c>
      <c r="G6" s="6">
        <v>7529</v>
      </c>
      <c r="H6" s="6">
        <v>26892</v>
      </c>
      <c r="J6" s="2" t="s">
        <v>28</v>
      </c>
      <c r="K6" s="2">
        <v>2</v>
      </c>
      <c r="L6" s="25"/>
    </row>
    <row r="7" spans="1:12" ht="16.2">
      <c r="A7" s="5">
        <v>2</v>
      </c>
      <c r="B7" s="5" t="s">
        <v>28</v>
      </c>
      <c r="C7" s="5" t="s">
        <v>30</v>
      </c>
      <c r="D7" s="6">
        <v>6824</v>
      </c>
      <c r="E7" s="6">
        <v>5514</v>
      </c>
      <c r="F7" s="6">
        <v>7084</v>
      </c>
      <c r="G7" s="6">
        <v>4346</v>
      </c>
      <c r="H7" s="6">
        <v>23768</v>
      </c>
      <c r="J7" s="2" t="s">
        <v>31</v>
      </c>
      <c r="K7" s="2">
        <v>3</v>
      </c>
      <c r="L7" s="25"/>
    </row>
    <row r="8" spans="1:12" ht="16.2">
      <c r="A8" s="5">
        <v>3</v>
      </c>
      <c r="B8" s="5" t="s">
        <v>31</v>
      </c>
      <c r="C8" s="5" t="s">
        <v>32</v>
      </c>
      <c r="D8" s="6">
        <v>2042</v>
      </c>
      <c r="E8" s="6">
        <v>5160</v>
      </c>
      <c r="F8" s="6">
        <v>9064</v>
      </c>
      <c r="G8" s="6">
        <v>3414</v>
      </c>
      <c r="H8" s="6">
        <v>19680</v>
      </c>
      <c r="J8" s="2" t="s">
        <v>28</v>
      </c>
      <c r="K8" s="2">
        <v>3</v>
      </c>
      <c r="L8" s="25"/>
    </row>
    <row r="9" spans="1:12" ht="16.2">
      <c r="A9" s="5">
        <v>3</v>
      </c>
      <c r="B9" s="5" t="s">
        <v>31</v>
      </c>
      <c r="C9" s="5" t="s">
        <v>9</v>
      </c>
      <c r="D9" s="6">
        <v>2293</v>
      </c>
      <c r="E9" s="6">
        <v>5349</v>
      </c>
      <c r="F9" s="6">
        <v>1926</v>
      </c>
      <c r="G9" s="6">
        <v>2009</v>
      </c>
      <c r="H9" s="6">
        <v>11577</v>
      </c>
      <c r="J9" s="2" t="s">
        <v>33</v>
      </c>
      <c r="K9" s="2">
        <v>4</v>
      </c>
      <c r="L9" s="25"/>
    </row>
    <row r="10" spans="1:12" ht="16.2">
      <c r="A10" s="5">
        <v>3</v>
      </c>
      <c r="B10" s="5" t="s">
        <v>28</v>
      </c>
      <c r="C10" s="5" t="s">
        <v>34</v>
      </c>
      <c r="D10" s="6">
        <v>3342</v>
      </c>
      <c r="E10" s="6">
        <v>2363</v>
      </c>
      <c r="F10" s="6">
        <v>2786</v>
      </c>
      <c r="G10" s="6">
        <v>2102</v>
      </c>
      <c r="H10" s="6">
        <v>10593</v>
      </c>
      <c r="J10" s="2" t="s">
        <v>31</v>
      </c>
      <c r="K10" s="2">
        <v>4</v>
      </c>
      <c r="L10" s="25"/>
    </row>
    <row r="11" spans="1:12" ht="16.2">
      <c r="A11" s="5">
        <v>3</v>
      </c>
      <c r="B11" s="5" t="s">
        <v>28</v>
      </c>
      <c r="C11" s="5" t="s">
        <v>35</v>
      </c>
      <c r="D11" s="6">
        <v>1854</v>
      </c>
      <c r="E11" s="6">
        <v>6244</v>
      </c>
      <c r="F11" s="6">
        <v>1888</v>
      </c>
      <c r="G11" s="6">
        <v>7551</v>
      </c>
      <c r="H11" s="6">
        <v>17537</v>
      </c>
      <c r="J11" s="2" t="s">
        <v>33</v>
      </c>
      <c r="K11" s="2">
        <v>5</v>
      </c>
      <c r="L11" s="25"/>
    </row>
    <row r="12" spans="1:12" ht="16.2">
      <c r="A12" s="5">
        <v>4</v>
      </c>
      <c r="B12" s="5" t="s">
        <v>33</v>
      </c>
      <c r="C12" s="5" t="s">
        <v>12</v>
      </c>
      <c r="D12" s="6">
        <v>9856</v>
      </c>
      <c r="E12" s="6">
        <v>7800</v>
      </c>
      <c r="F12" s="6">
        <v>9652</v>
      </c>
      <c r="G12" s="6">
        <v>8760</v>
      </c>
      <c r="H12" s="6">
        <v>36068</v>
      </c>
      <c r="J12" s="2" t="s">
        <v>36</v>
      </c>
      <c r="K12" s="2">
        <v>6</v>
      </c>
      <c r="L12" s="25"/>
    </row>
    <row r="13" spans="1:12" ht="16.2">
      <c r="A13" s="5">
        <v>4</v>
      </c>
      <c r="B13" s="5" t="s">
        <v>33</v>
      </c>
      <c r="C13" s="5" t="s">
        <v>37</v>
      </c>
      <c r="D13" s="6">
        <v>7745</v>
      </c>
      <c r="E13" s="6">
        <v>1786</v>
      </c>
      <c r="F13" s="6">
        <v>7415</v>
      </c>
      <c r="G13" s="6">
        <v>2943</v>
      </c>
      <c r="H13" s="6">
        <v>19889</v>
      </c>
      <c r="J13" s="2" t="s">
        <v>38</v>
      </c>
      <c r="K13" s="2">
        <v>7</v>
      </c>
      <c r="L13" s="25"/>
    </row>
    <row r="14" spans="1:12" ht="16.2">
      <c r="A14" s="5">
        <v>4</v>
      </c>
      <c r="B14" s="5" t="s">
        <v>31</v>
      </c>
      <c r="C14" s="5" t="s">
        <v>39</v>
      </c>
      <c r="D14" s="6">
        <v>3078</v>
      </c>
      <c r="E14" s="6">
        <v>2127</v>
      </c>
      <c r="F14" s="6">
        <v>9075</v>
      </c>
      <c r="G14" s="6">
        <v>9865</v>
      </c>
      <c r="H14" s="6">
        <v>24145</v>
      </c>
    </row>
    <row r="15" spans="1:12" ht="16.2">
      <c r="A15" s="5">
        <v>4</v>
      </c>
      <c r="B15" s="5" t="s">
        <v>31</v>
      </c>
      <c r="C15" s="5" t="s">
        <v>40</v>
      </c>
      <c r="D15" s="6">
        <v>1082</v>
      </c>
      <c r="E15" s="6">
        <v>1676</v>
      </c>
      <c r="F15" s="6">
        <v>8750</v>
      </c>
      <c r="G15" s="6">
        <v>4629</v>
      </c>
      <c r="H15" s="6">
        <v>16137</v>
      </c>
    </row>
    <row r="16" spans="1:12" ht="16.2">
      <c r="A16" s="5">
        <v>4</v>
      </c>
      <c r="B16" s="5" t="s">
        <v>31</v>
      </c>
      <c r="C16" s="5" t="s">
        <v>41</v>
      </c>
      <c r="D16" s="6">
        <v>1884</v>
      </c>
      <c r="E16" s="6">
        <v>9447</v>
      </c>
      <c r="F16" s="6">
        <v>8595</v>
      </c>
      <c r="G16" s="6">
        <v>2713</v>
      </c>
      <c r="H16" s="6">
        <v>22639</v>
      </c>
    </row>
    <row r="17" spans="1:8" ht="16.2">
      <c r="A17" s="5">
        <v>5</v>
      </c>
      <c r="B17" s="5" t="s">
        <v>33</v>
      </c>
      <c r="C17" s="5" t="s">
        <v>42</v>
      </c>
      <c r="D17" s="6">
        <v>8603</v>
      </c>
      <c r="E17" s="6">
        <v>5353</v>
      </c>
      <c r="F17" s="6">
        <v>9066</v>
      </c>
      <c r="G17" s="6">
        <v>6361</v>
      </c>
      <c r="H17" s="6">
        <v>29383</v>
      </c>
    </row>
    <row r="18" spans="1:8" ht="16.2">
      <c r="A18" s="5">
        <v>5</v>
      </c>
      <c r="B18" s="5" t="s">
        <v>33</v>
      </c>
      <c r="C18" s="5" t="s">
        <v>15</v>
      </c>
      <c r="D18" s="6">
        <v>7180</v>
      </c>
      <c r="E18" s="6">
        <v>8351</v>
      </c>
      <c r="F18" s="6">
        <v>3175</v>
      </c>
      <c r="G18" s="6">
        <v>1718</v>
      </c>
      <c r="H18" s="6">
        <v>20424</v>
      </c>
    </row>
    <row r="19" spans="1:8" ht="16.2">
      <c r="A19" s="5">
        <v>5</v>
      </c>
      <c r="B19" s="5" t="s">
        <v>33</v>
      </c>
      <c r="C19" s="5" t="s">
        <v>43</v>
      </c>
      <c r="D19" s="6">
        <v>1045</v>
      </c>
      <c r="E19" s="6">
        <v>7210</v>
      </c>
      <c r="F19" s="6">
        <v>8135</v>
      </c>
      <c r="G19" s="6">
        <v>7056</v>
      </c>
      <c r="H19" s="6">
        <v>23446</v>
      </c>
    </row>
    <row r="20" spans="1:8" ht="16.2">
      <c r="A20" s="5">
        <v>6</v>
      </c>
      <c r="B20" s="5" t="s">
        <v>36</v>
      </c>
      <c r="C20" s="5" t="s">
        <v>44</v>
      </c>
      <c r="D20" s="6">
        <v>6359</v>
      </c>
      <c r="E20" s="6">
        <v>1951</v>
      </c>
      <c r="F20" s="6">
        <v>6596</v>
      </c>
      <c r="G20" s="6">
        <v>9301</v>
      </c>
      <c r="H20" s="6">
        <v>24207</v>
      </c>
    </row>
    <row r="21" spans="1:8" ht="16.2">
      <c r="A21" s="5">
        <v>6</v>
      </c>
      <c r="B21" s="5" t="s">
        <v>36</v>
      </c>
      <c r="C21" s="5" t="s">
        <v>18</v>
      </c>
      <c r="D21" s="6">
        <v>2458</v>
      </c>
      <c r="E21" s="6">
        <v>4870</v>
      </c>
      <c r="F21" s="6">
        <v>4319</v>
      </c>
      <c r="G21" s="6">
        <v>7365</v>
      </c>
      <c r="H21" s="6">
        <v>19012</v>
      </c>
    </row>
    <row r="22" spans="1:8" ht="16.2">
      <c r="A22" s="5">
        <v>6</v>
      </c>
      <c r="B22" s="5" t="s">
        <v>36</v>
      </c>
      <c r="C22" s="5" t="s">
        <v>45</v>
      </c>
      <c r="D22" s="6">
        <v>3720</v>
      </c>
      <c r="E22" s="6">
        <v>4008</v>
      </c>
      <c r="F22" s="6">
        <v>7645</v>
      </c>
      <c r="G22" s="6">
        <v>1784</v>
      </c>
      <c r="H22" s="6">
        <v>17157</v>
      </c>
    </row>
    <row r="23" spans="1:8" ht="16.2">
      <c r="A23" s="5">
        <v>7</v>
      </c>
      <c r="B23" s="5" t="s">
        <v>38</v>
      </c>
      <c r="C23" s="5" t="s">
        <v>21</v>
      </c>
      <c r="D23" s="6">
        <v>2169</v>
      </c>
      <c r="E23" s="6">
        <v>7508</v>
      </c>
      <c r="F23" s="6">
        <v>8964</v>
      </c>
      <c r="G23" s="6">
        <v>8876</v>
      </c>
      <c r="H23" s="6">
        <v>27517</v>
      </c>
    </row>
    <row r="24" spans="1:8" ht="16.2">
      <c r="A24" s="5">
        <v>7</v>
      </c>
      <c r="B24" s="5" t="s">
        <v>38</v>
      </c>
      <c r="C24" s="5" t="s">
        <v>46</v>
      </c>
      <c r="D24" s="6">
        <v>8699</v>
      </c>
      <c r="E24" s="6">
        <v>1992</v>
      </c>
      <c r="F24" s="6">
        <v>7071</v>
      </c>
      <c r="G24" s="6">
        <v>5810</v>
      </c>
      <c r="H24" s="6">
        <v>23572</v>
      </c>
    </row>
    <row r="25" spans="1:8" ht="16.2">
      <c r="A25" s="5">
        <v>7</v>
      </c>
      <c r="B25" s="5" t="s">
        <v>38</v>
      </c>
      <c r="C25" s="5" t="s">
        <v>47</v>
      </c>
      <c r="D25" s="6">
        <v>3668</v>
      </c>
      <c r="E25" s="6">
        <v>7680</v>
      </c>
      <c r="F25" s="6">
        <v>8062</v>
      </c>
      <c r="G25" s="6">
        <v>4602</v>
      </c>
      <c r="H25" s="6">
        <v>24012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0CB-FADD-4DAF-9D49-3CE148EF6427}">
  <dimension ref="A1:B31"/>
  <sheetViews>
    <sheetView workbookViewId="0"/>
  </sheetViews>
  <sheetFormatPr defaultRowHeight="15"/>
  <cols>
    <col min="1" max="1" width="10.44140625" style="2" bestFit="1" customWidth="1"/>
    <col min="2" max="2" width="20.109375" style="2" bestFit="1" customWidth="1"/>
    <col min="3" max="3" width="21" style="2" bestFit="1" customWidth="1"/>
    <col min="4" max="16384" width="8.88671875" style="2"/>
  </cols>
  <sheetData>
    <row r="1" spans="1:2">
      <c r="A1" s="8" t="s">
        <v>0</v>
      </c>
      <c r="B1" s="2" t="s">
        <v>84</v>
      </c>
    </row>
    <row r="3" spans="1:2">
      <c r="A3" s="8" t="s">
        <v>76</v>
      </c>
      <c r="B3" s="2" t="s">
        <v>77</v>
      </c>
    </row>
    <row r="4" spans="1:2">
      <c r="A4" s="9" t="s">
        <v>78</v>
      </c>
      <c r="B4" s="10">
        <v>94178</v>
      </c>
    </row>
    <row r="5" spans="1:2">
      <c r="A5" s="9" t="s">
        <v>79</v>
      </c>
      <c r="B5" s="10">
        <v>129653</v>
      </c>
    </row>
    <row r="6" spans="1:2">
      <c r="A6" s="9" t="s">
        <v>80</v>
      </c>
      <c r="B6" s="10">
        <v>60376</v>
      </c>
    </row>
    <row r="7" spans="1:2">
      <c r="A7" s="9" t="s">
        <v>81</v>
      </c>
      <c r="B7" s="10">
        <v>129210</v>
      </c>
    </row>
    <row r="8" spans="1:2">
      <c r="A8" s="9" t="s">
        <v>82</v>
      </c>
      <c r="B8" s="10">
        <v>75101</v>
      </c>
    </row>
    <row r="9" spans="1:2">
      <c r="A9" s="9" t="s">
        <v>83</v>
      </c>
      <c r="B9" s="10">
        <v>488518</v>
      </c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954C-98B1-470C-94DC-DFB2CDBFCFB8}">
  <dimension ref="A1:F11"/>
  <sheetViews>
    <sheetView workbookViewId="0"/>
  </sheetViews>
  <sheetFormatPr defaultRowHeight="15"/>
  <cols>
    <col min="1" max="1" width="12.21875" style="11" customWidth="1"/>
    <col min="2" max="2" width="10.77734375" style="11" customWidth="1"/>
    <col min="3" max="6" width="15.77734375" style="11" customWidth="1"/>
    <col min="7" max="16384" width="8.88671875" style="11"/>
  </cols>
  <sheetData>
    <row r="1" spans="1:6" ht="24.6">
      <c r="A1" s="15" t="s">
        <v>26</v>
      </c>
      <c r="B1" s="13"/>
      <c r="C1" s="13"/>
      <c r="D1" s="13"/>
      <c r="E1" s="13"/>
      <c r="F1" s="13"/>
    </row>
    <row r="2" spans="1:6" ht="19.8">
      <c r="A2" s="14" t="s">
        <v>56</v>
      </c>
      <c r="B2" s="13"/>
      <c r="C2" s="13"/>
      <c r="D2" s="13"/>
      <c r="E2" s="13"/>
      <c r="F2" s="13"/>
    </row>
    <row r="3" spans="1:6" s="18" customFormat="1" ht="16.8" thickBot="1">
      <c r="A3" s="17" t="s">
        <v>51</v>
      </c>
      <c r="B3" s="17" t="s">
        <v>52</v>
      </c>
      <c r="C3" s="17" t="s">
        <v>53</v>
      </c>
      <c r="D3" s="29" t="s">
        <v>74</v>
      </c>
      <c r="E3" s="17" t="s">
        <v>54</v>
      </c>
      <c r="F3" s="17" t="s">
        <v>55</v>
      </c>
    </row>
    <row r="4" spans="1:6" s="18" customFormat="1" ht="16.2">
      <c r="A4" s="18">
        <v>1</v>
      </c>
      <c r="B4" s="18" t="s">
        <v>28</v>
      </c>
      <c r="C4" s="18" t="s">
        <v>3</v>
      </c>
      <c r="D4" s="16"/>
      <c r="E4" s="16">
        <v>44390</v>
      </c>
    </row>
    <row r="5" spans="1:6" s="18" customFormat="1" ht="16.2">
      <c r="A5" s="18">
        <v>2</v>
      </c>
      <c r="B5" s="18" t="s">
        <v>28</v>
      </c>
      <c r="C5" s="18" t="s">
        <v>6</v>
      </c>
      <c r="D5" s="16"/>
      <c r="E5" s="16">
        <v>44458</v>
      </c>
    </row>
    <row r="6" spans="1:6" s="18" customFormat="1" ht="16.2">
      <c r="A6" s="18">
        <v>3</v>
      </c>
      <c r="B6" s="18" t="s">
        <v>31</v>
      </c>
      <c r="C6" s="18" t="s">
        <v>9</v>
      </c>
      <c r="D6" s="16"/>
      <c r="E6" s="16">
        <v>44507</v>
      </c>
    </row>
    <row r="7" spans="1:6" s="18" customFormat="1" ht="16.2">
      <c r="A7" s="18">
        <v>4</v>
      </c>
      <c r="B7" s="18" t="s">
        <v>33</v>
      </c>
      <c r="C7" s="18" t="s">
        <v>12</v>
      </c>
      <c r="D7" s="16"/>
      <c r="E7" s="16">
        <v>44512</v>
      </c>
    </row>
    <row r="8" spans="1:6" s="18" customFormat="1" ht="16.2">
      <c r="A8" s="18">
        <v>5</v>
      </c>
      <c r="B8" s="18" t="s">
        <v>33</v>
      </c>
      <c r="C8" s="18" t="s">
        <v>15</v>
      </c>
      <c r="D8" s="16"/>
      <c r="E8" s="16">
        <v>44608</v>
      </c>
    </row>
    <row r="9" spans="1:6" s="18" customFormat="1" ht="16.2">
      <c r="A9" s="18">
        <v>6</v>
      </c>
      <c r="B9" s="18" t="s">
        <v>36</v>
      </c>
      <c r="C9" s="18" t="s">
        <v>18</v>
      </c>
      <c r="D9" s="16"/>
      <c r="E9" s="16">
        <v>44565</v>
      </c>
    </row>
    <row r="10" spans="1:6" s="18" customFormat="1" ht="16.2">
      <c r="A10" s="18">
        <v>7</v>
      </c>
      <c r="B10" s="18" t="s">
        <v>38</v>
      </c>
      <c r="C10" s="18" t="s">
        <v>21</v>
      </c>
      <c r="D10" s="16"/>
      <c r="E10" s="16">
        <v>44664</v>
      </c>
    </row>
    <row r="11" spans="1:6">
      <c r="E11" s="1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89E0-E626-48FA-B4E9-F1BAC7D5DAAF}">
  <dimension ref="A1:G12"/>
  <sheetViews>
    <sheetView workbookViewId="0"/>
  </sheetViews>
  <sheetFormatPr defaultRowHeight="15"/>
  <cols>
    <col min="1" max="1" width="10.77734375" style="11" customWidth="1"/>
    <col min="2" max="5" width="8.77734375" style="11" customWidth="1"/>
    <col min="6" max="6" width="10.77734375" style="11" customWidth="1"/>
    <col min="7" max="7" width="13.5546875" style="11" bestFit="1" customWidth="1"/>
    <col min="8" max="16384" width="8.88671875" style="11"/>
  </cols>
  <sheetData>
    <row r="1" spans="1:7" ht="16.2">
      <c r="A1" s="13" t="s">
        <v>50</v>
      </c>
      <c r="B1" s="13"/>
      <c r="C1" s="13"/>
      <c r="D1" s="13"/>
      <c r="E1" s="13"/>
      <c r="F1" s="13"/>
      <c r="G1" s="13"/>
    </row>
    <row r="2" spans="1:7" ht="16.2">
      <c r="A2" s="13" t="s">
        <v>57</v>
      </c>
      <c r="B2" s="13"/>
      <c r="C2" s="13"/>
      <c r="D2" s="13"/>
      <c r="E2" s="13"/>
      <c r="F2" s="13"/>
      <c r="G2" s="13"/>
    </row>
    <row r="3" spans="1:7" ht="16.8" thickBot="1">
      <c r="A3" s="12" t="s">
        <v>58</v>
      </c>
      <c r="B3" s="12" t="s">
        <v>59</v>
      </c>
      <c r="C3" s="12" t="s">
        <v>60</v>
      </c>
      <c r="D3" s="12" t="s">
        <v>61</v>
      </c>
      <c r="E3" s="12" t="s">
        <v>62</v>
      </c>
      <c r="F3" s="12" t="s">
        <v>63</v>
      </c>
      <c r="G3" s="12" t="s">
        <v>64</v>
      </c>
    </row>
    <row r="4" spans="1:7" ht="16.2">
      <c r="A4" s="11" t="s">
        <v>2</v>
      </c>
      <c r="B4" s="22">
        <v>6157</v>
      </c>
      <c r="C4" s="22">
        <v>15596</v>
      </c>
      <c r="D4" s="22">
        <v>18610</v>
      </c>
      <c r="E4" s="22">
        <v>10500</v>
      </c>
      <c r="F4" s="22">
        <v>50863</v>
      </c>
      <c r="G4" s="20">
        <f>F4/$F$11</f>
        <v>0.10411694144330404</v>
      </c>
    </row>
    <row r="5" spans="1:7" ht="16.2">
      <c r="A5" s="11" t="s">
        <v>5</v>
      </c>
      <c r="B5" s="22">
        <v>9965</v>
      </c>
      <c r="C5" s="22">
        <v>14886</v>
      </c>
      <c r="D5" s="22">
        <v>13934</v>
      </c>
      <c r="E5" s="22">
        <v>11875</v>
      </c>
      <c r="F5" s="22">
        <v>50660</v>
      </c>
      <c r="G5" s="20">
        <f t="shared" ref="G5:G10" si="0">F5/$F$11</f>
        <v>0.10370139892491168</v>
      </c>
    </row>
    <row r="6" spans="1:7" ht="16.2">
      <c r="A6" s="11" t="s">
        <v>8</v>
      </c>
      <c r="B6" s="22">
        <v>9531</v>
      </c>
      <c r="C6" s="22">
        <v>19116</v>
      </c>
      <c r="D6" s="22">
        <v>15664</v>
      </c>
      <c r="E6" s="22">
        <v>15076</v>
      </c>
      <c r="F6" s="22">
        <v>59387</v>
      </c>
      <c r="G6" s="20">
        <f t="shared" si="0"/>
        <v>0.12156563320082371</v>
      </c>
    </row>
    <row r="7" spans="1:7" ht="16.2">
      <c r="A7" s="11" t="s">
        <v>11</v>
      </c>
      <c r="B7" s="22">
        <v>23645</v>
      </c>
      <c r="C7" s="22">
        <v>22836</v>
      </c>
      <c r="D7" s="22">
        <v>43487</v>
      </c>
      <c r="E7" s="22">
        <v>28910</v>
      </c>
      <c r="F7" s="22">
        <v>118878</v>
      </c>
      <c r="G7" s="20">
        <f t="shared" si="0"/>
        <v>0.24334415517954303</v>
      </c>
    </row>
    <row r="8" spans="1:7" ht="16.2">
      <c r="A8" s="11" t="s">
        <v>14</v>
      </c>
      <c r="B8" s="22">
        <v>16828</v>
      </c>
      <c r="C8" s="22">
        <v>20914</v>
      </c>
      <c r="D8" s="22">
        <v>20376</v>
      </c>
      <c r="E8" s="22">
        <v>15135</v>
      </c>
      <c r="F8" s="22">
        <v>73253</v>
      </c>
      <c r="G8" s="20">
        <f t="shared" si="0"/>
        <v>0.14994943891524978</v>
      </c>
    </row>
    <row r="9" spans="1:7" ht="16.2">
      <c r="A9" s="11" t="s">
        <v>17</v>
      </c>
      <c r="B9" s="22">
        <v>12537</v>
      </c>
      <c r="C9" s="22">
        <v>10829</v>
      </c>
      <c r="D9" s="22">
        <v>18560</v>
      </c>
      <c r="E9" s="22">
        <v>18450</v>
      </c>
      <c r="F9" s="22">
        <v>60376</v>
      </c>
      <c r="G9" s="20">
        <f t="shared" si="0"/>
        <v>0.12359012359831163</v>
      </c>
    </row>
    <row r="10" spans="1:7" ht="16.2">
      <c r="A10" s="11" t="s">
        <v>20</v>
      </c>
      <c r="B10" s="22">
        <v>14536</v>
      </c>
      <c r="C10" s="22">
        <v>17180</v>
      </c>
      <c r="D10" s="22">
        <v>24097</v>
      </c>
      <c r="E10" s="22">
        <v>19288</v>
      </c>
      <c r="F10" s="22">
        <v>75101</v>
      </c>
      <c r="G10" s="20">
        <f t="shared" si="0"/>
        <v>0.15373230873785612</v>
      </c>
    </row>
    <row r="11" spans="1:7" ht="16.8" thickBot="1">
      <c r="A11" s="19"/>
      <c r="B11" s="19"/>
      <c r="C11" s="19"/>
      <c r="D11" s="24" t="s">
        <v>65</v>
      </c>
      <c r="E11" s="19"/>
      <c r="F11" s="23">
        <f>SUM(F4:F10)</f>
        <v>488518</v>
      </c>
      <c r="G11" s="21">
        <f>SUM(G4:G10)</f>
        <v>1</v>
      </c>
    </row>
    <row r="12" spans="1:7" ht="15.6" thickTop="1"/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3D14-2A48-4925-9FD3-E21EE0AA9C89}">
  <dimension ref="A1:A29"/>
  <sheetViews>
    <sheetView workbookViewId="0"/>
  </sheetViews>
  <sheetFormatPr defaultRowHeight="16.2"/>
  <cols>
    <col min="1" max="1" width="10.6640625" bestFit="1" customWidth="1"/>
  </cols>
  <sheetData>
    <row r="1" spans="1:1">
      <c r="A1" t="s">
        <v>75</v>
      </c>
    </row>
    <row r="2" spans="1:1">
      <c r="A2" s="30">
        <v>44197</v>
      </c>
    </row>
    <row r="3" spans="1:1">
      <c r="A3" s="30">
        <v>44237</v>
      </c>
    </row>
    <row r="4" spans="1:1">
      <c r="A4" s="30">
        <v>44238</v>
      </c>
    </row>
    <row r="5" spans="1:1">
      <c r="A5" s="30">
        <v>44239</v>
      </c>
    </row>
    <row r="6" spans="1:1">
      <c r="A6" s="30">
        <v>44242</v>
      </c>
    </row>
    <row r="7" spans="1:1">
      <c r="A7" s="30">
        <v>44243</v>
      </c>
    </row>
    <row r="8" spans="1:1">
      <c r="A8" s="30">
        <v>44256</v>
      </c>
    </row>
    <row r="9" spans="1:1">
      <c r="A9" s="30">
        <v>44288</v>
      </c>
    </row>
    <row r="10" spans="1:1">
      <c r="A10" s="30">
        <v>44291</v>
      </c>
    </row>
    <row r="11" spans="1:1">
      <c r="A11" s="30">
        <v>44316</v>
      </c>
    </row>
    <row r="12" spans="1:1">
      <c r="A12" s="30">
        <v>44361</v>
      </c>
    </row>
    <row r="13" spans="1:1">
      <c r="A13" s="30">
        <v>44459</v>
      </c>
    </row>
    <row r="14" spans="1:1">
      <c r="A14" s="30">
        <v>44460</v>
      </c>
    </row>
    <row r="15" spans="1:1">
      <c r="A15" s="30">
        <v>44480</v>
      </c>
    </row>
    <row r="16" spans="1:1">
      <c r="A16" s="30">
        <v>44561</v>
      </c>
    </row>
    <row r="17" spans="1:1">
      <c r="A17" s="30">
        <v>44592</v>
      </c>
    </row>
    <row r="18" spans="1:1">
      <c r="A18" s="30">
        <v>44593</v>
      </c>
    </row>
    <row r="19" spans="1:1">
      <c r="A19" s="30">
        <v>44594</v>
      </c>
    </row>
    <row r="20" spans="1:1">
      <c r="A20" s="30">
        <v>44595</v>
      </c>
    </row>
    <row r="21" spans="1:1">
      <c r="A21" s="30">
        <v>44596</v>
      </c>
    </row>
    <row r="22" spans="1:1">
      <c r="A22" s="30">
        <v>44620</v>
      </c>
    </row>
    <row r="23" spans="1:1">
      <c r="A23" s="30">
        <v>44655</v>
      </c>
    </row>
    <row r="24" spans="1:1">
      <c r="A24" s="30">
        <v>44656</v>
      </c>
    </row>
    <row r="25" spans="1:1">
      <c r="A25" s="30">
        <v>44683</v>
      </c>
    </row>
    <row r="26" spans="1:1">
      <c r="A26" s="30">
        <v>44715</v>
      </c>
    </row>
    <row r="27" spans="1:1">
      <c r="A27" s="30">
        <v>44813</v>
      </c>
    </row>
    <row r="28" spans="1:1">
      <c r="A28" s="30">
        <v>44844</v>
      </c>
    </row>
    <row r="29" spans="1:1">
      <c r="A29" s="3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D945DD-4160-4BA8-89DE-EC47A4473E9D}"/>
</file>

<file path=customXml/itemProps2.xml><?xml version="1.0" encoding="utf-8"?>
<ds:datastoreItem xmlns:ds="http://schemas.openxmlformats.org/officeDocument/2006/customXml" ds:itemID="{ED310C6C-80C4-4633-A3AB-F733D0F9A7AA}"/>
</file>

<file path=customXml/itemProps3.xml><?xml version="1.0" encoding="utf-8"?>
<ds:datastoreItem xmlns:ds="http://schemas.openxmlformats.org/officeDocument/2006/customXml" ds:itemID="{149518D0-1AB8-4B48-9F99-84C90A8AA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4</vt:i4>
      </vt:variant>
    </vt:vector>
  </HeadingPairs>
  <TitlesOfParts>
    <vt:vector size="10" baseType="lpstr">
      <vt:lpstr>業務部門</vt:lpstr>
      <vt:lpstr>年度銷售量</vt:lpstr>
      <vt:lpstr>地區銷售量</vt:lpstr>
      <vt:lpstr>業務會議</vt:lpstr>
      <vt:lpstr>銷售摘要</vt:lpstr>
      <vt:lpstr>休假日</vt:lpstr>
      <vt:lpstr>代表編號</vt:lpstr>
      <vt:lpstr>休假日</vt:lpstr>
      <vt:lpstr>地區</vt:lpstr>
      <vt:lpstr>銷售量總計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</cp:lastModifiedBy>
  <dcterms:created xsi:type="dcterms:W3CDTF">2021-05-12T13:56:33Z</dcterms:created>
  <dcterms:modified xsi:type="dcterms:W3CDTF">2021-05-12T14:36:36Z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