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OSBOOK進行中ing\Excel2019Expert\題目設計\處理中\"/>
    </mc:Choice>
  </mc:AlternateContent>
  <xr:revisionPtr revIDLastSave="0" documentId="13_ncr:1_{8E418FDD-B763-4A25-9035-ECBF0EA6A0BE}" xr6:coauthVersionLast="46" xr6:coauthVersionMax="46" xr10:uidLastSave="{00000000-0000-0000-0000-000000000000}"/>
  <bookViews>
    <workbookView xWindow="-120" yWindow="-120" windowWidth="29040" windowHeight="15840" xr2:uid="{AF20CE1D-769D-48D9-9CF2-57CCC53FAF24}"/>
  </bookViews>
  <sheets>
    <sheet name="自行車款庫存與銷售" sheetId="1" r:id="rId1"/>
    <sheet name="新車銷售預估" sheetId="2" r:id="rId2"/>
    <sheet name="會員資料" sheetId="6" r:id="rId3"/>
    <sheet name="售價區間分析" sheetId="4" r:id="rId4"/>
    <sheet name="近三年銷售摘要" sheetId="3" r:id="rId5"/>
  </sheets>
  <definedNames>
    <definedName name="庫存資料">自行車款庫存與銷售!$A$3:$I$33</definedName>
    <definedName name="會員優惠">表格3[[#All],[星級]:[尊爵]]</definedName>
  </definedNames>
  <calcPr calcId="191029"/>
  <pivotCaches>
    <pivotCache cacheId="2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3" l="1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</calcChain>
</file>

<file path=xl/sharedStrings.xml><?xml version="1.0" encoding="utf-8"?>
<sst xmlns="http://schemas.openxmlformats.org/spreadsheetml/2006/main" count="865" uniqueCount="596">
  <si>
    <t>車款</t>
    <phoneticPr fontId="5" type="noConversion"/>
  </si>
  <si>
    <t>車款英文</t>
    <phoneticPr fontId="5" type="noConversion"/>
  </si>
  <si>
    <t>年份</t>
    <phoneticPr fontId="5" type="noConversion"/>
  </si>
  <si>
    <t>經銷價</t>
    <phoneticPr fontId="5" type="noConversion"/>
  </si>
  <si>
    <t>庫存</t>
    <phoneticPr fontId="5" type="noConversion"/>
  </si>
  <si>
    <t>上個月銷售</t>
    <phoneticPr fontId="5" type="noConversion"/>
  </si>
  <si>
    <t>本月銷售</t>
    <phoneticPr fontId="5" type="noConversion"/>
  </si>
  <si>
    <t>年度銷售</t>
    <phoneticPr fontId="5" type="noConversion"/>
  </si>
  <si>
    <t>提供優惠</t>
    <phoneticPr fontId="5" type="noConversion"/>
  </si>
  <si>
    <t>公路越野車</t>
  </si>
  <si>
    <t>Cross Bike/Cyclocross Bike</t>
  </si>
  <si>
    <t>公路車</t>
  </si>
  <si>
    <t>Road Bike</t>
  </si>
  <si>
    <t>登山車</t>
  </si>
  <si>
    <t>Mountain Bike</t>
  </si>
  <si>
    <t>極限單車</t>
  </si>
  <si>
    <t>Bicycle Moto Cross</t>
  </si>
  <si>
    <t>摺疊車</t>
  </si>
  <si>
    <t>Folding Bicycle</t>
  </si>
  <si>
    <t>小徑車</t>
  </si>
  <si>
    <t>Mini Velo</t>
  </si>
  <si>
    <t>旅行自行車</t>
  </si>
  <si>
    <t>Touring Bicycle</t>
  </si>
  <si>
    <t>淑女車</t>
  </si>
  <si>
    <t>Lady Bicycle</t>
  </si>
  <si>
    <t>單速車</t>
  </si>
  <si>
    <t>Fixed gear</t>
  </si>
  <si>
    <t>鐵人三項車</t>
    <phoneticPr fontId="5" type="noConversion"/>
  </si>
  <si>
    <t>Triathlon bicycle</t>
    <phoneticPr fontId="5" type="noConversion"/>
  </si>
  <si>
    <t>2020年</t>
  </si>
  <si>
    <t>2019年</t>
  </si>
  <si>
    <t>2018年</t>
  </si>
  <si>
    <t>首年目標</t>
    <phoneticPr fontId="5" type="noConversion"/>
  </si>
  <si>
    <t>第2年目標</t>
    <phoneticPr fontId="5" type="noConversion"/>
  </si>
  <si>
    <t>國緯自行車新車發表</t>
    <phoneticPr fontId="5" type="noConversion"/>
  </si>
  <si>
    <t>2020年款新車五年銷售預估</t>
    <phoneticPr fontId="5" type="noConversion"/>
  </si>
  <si>
    <t>第3年目標</t>
    <phoneticPr fontId="5" type="noConversion"/>
  </si>
  <si>
    <t>第4年目標</t>
    <phoneticPr fontId="5" type="noConversion"/>
  </si>
  <si>
    <t>第5年目標</t>
    <phoneticPr fontId="5" type="noConversion"/>
  </si>
  <si>
    <t>車款</t>
  </si>
  <si>
    <t>鐵人三項車</t>
  </si>
  <si>
    <t>2018年銷售量</t>
    <phoneticPr fontId="5" type="noConversion"/>
  </si>
  <si>
    <t>2019年銷售量</t>
  </si>
  <si>
    <t>2020年銷售量</t>
  </si>
  <si>
    <t>合計</t>
    <phoneticPr fontId="5" type="noConversion"/>
  </si>
  <si>
    <t>年度：2020年</t>
    <phoneticPr fontId="5" type="noConversion"/>
  </si>
  <si>
    <t>國緯自行車銷售與庫存統計</t>
    <phoneticPr fontId="5" type="noConversion"/>
  </si>
  <si>
    <t>2015～2017自行車款銷售統計</t>
    <phoneticPr fontId="5" type="noConversion"/>
  </si>
  <si>
    <t>近三年銷售統計</t>
    <phoneticPr fontId="5" type="noConversion"/>
  </si>
  <si>
    <t>售價</t>
  </si>
  <si>
    <t>售價</t>
    <phoneticPr fontId="5" type="noConversion"/>
  </si>
  <si>
    <t>總計</t>
  </si>
  <si>
    <t>售價區間分析</t>
  </si>
  <si>
    <t>售價區間銷售量統計</t>
  </si>
  <si>
    <t>自行車年份</t>
  </si>
  <si>
    <t>自行車年份</t>
    <phoneticPr fontId="5" type="noConversion"/>
  </si>
  <si>
    <t>2015年款</t>
  </si>
  <si>
    <t>2016年款</t>
  </si>
  <si>
    <t>2017年款</t>
  </si>
  <si>
    <t>(全部)</t>
  </si>
  <si>
    <t>總銷售量</t>
  </si>
  <si>
    <t>尊爵</t>
  </si>
  <si>
    <t>尊爵</t>
    <phoneticPr fontId="5" type="noConversion"/>
  </si>
  <si>
    <t>鑽石</t>
  </si>
  <si>
    <t>鑽石</t>
    <phoneticPr fontId="5" type="noConversion"/>
  </si>
  <si>
    <t>白金</t>
  </si>
  <si>
    <t>白金</t>
    <phoneticPr fontId="5" type="noConversion"/>
  </si>
  <si>
    <t>會員等級與優惠</t>
    <phoneticPr fontId="5" type="noConversion"/>
  </si>
  <si>
    <t>會員等級</t>
    <phoneticPr fontId="5" type="noConversion"/>
  </si>
  <si>
    <t>銀級</t>
  </si>
  <si>
    <t>銀級</t>
    <phoneticPr fontId="5" type="noConversion"/>
  </si>
  <si>
    <t>黃金</t>
  </si>
  <si>
    <t>黃金</t>
    <phoneticPr fontId="5" type="noConversion"/>
  </si>
  <si>
    <t>星級</t>
  </si>
  <si>
    <t>星級</t>
    <phoneticPr fontId="5" type="noConversion"/>
  </si>
  <si>
    <t>貸款利率</t>
    <phoneticPr fontId="5" type="noConversion"/>
  </si>
  <si>
    <t>現金折價</t>
    <phoneticPr fontId="5" type="noConversion"/>
  </si>
  <si>
    <t>貸款期數(年)</t>
    <phoneticPr fontId="5" type="noConversion"/>
  </si>
  <si>
    <t>會員折扣</t>
    <phoneticPr fontId="5" type="noConversion"/>
  </si>
  <si>
    <t>無</t>
    <phoneticPr fontId="5" type="noConversion"/>
  </si>
  <si>
    <t>九五折</t>
    <phoneticPr fontId="5" type="noConversion"/>
  </si>
  <si>
    <t>九折</t>
    <phoneticPr fontId="5" type="noConversion"/>
  </si>
  <si>
    <t>八五折</t>
    <phoneticPr fontId="5" type="noConversion"/>
  </si>
  <si>
    <t>八折</t>
    <phoneticPr fontId="5" type="noConversion"/>
  </si>
  <si>
    <t>七五折</t>
    <phoneticPr fontId="5" type="noConversion"/>
  </si>
  <si>
    <t>324桃園市平鎮區南平路＊號</t>
  </si>
  <si>
    <t>806高雄市前鎮區沱江街＊號</t>
  </si>
  <si>
    <t>806高雄市前鎮區精忠街＊號</t>
  </si>
  <si>
    <t>324桃園市平鎮區中正六路＊號</t>
  </si>
  <si>
    <t>324桃園市平鎮區龍泉一街＊巷＊號</t>
  </si>
  <si>
    <t>251新北市淡水區新市一路＊段＊巷＊號</t>
  </si>
  <si>
    <t>300新竹市新竹市北區凌雲街＊號</t>
  </si>
  <si>
    <t>103台北市大同區市民大道＊段＊號</t>
  </si>
  <si>
    <t>324桃園市平鎮區大興街＊號</t>
  </si>
  <si>
    <t>806高雄市前鎮區中山二路＊號</t>
  </si>
  <si>
    <t>744台南市新市區中山路＊巷＊號</t>
  </si>
  <si>
    <t>806高雄市前鎮區崗山橫街＊號</t>
  </si>
  <si>
    <t>324桃園市平鎮區新富街＊號</t>
  </si>
  <si>
    <t>324桃園市平鎮區中央路＊巷＊號</t>
  </si>
  <si>
    <t>324桃園市平鎮區文化街＊號</t>
  </si>
  <si>
    <t>100台北市中正區市民大道＊段＊號</t>
  </si>
  <si>
    <t>324桃園市平鎮區民族路＊段＊巷＊號</t>
  </si>
  <si>
    <t>806高雄市前鎮區精忠街＊巷＊弄＊號</t>
  </si>
  <si>
    <t>744台南市新市區中正路＊巷＊號</t>
  </si>
  <si>
    <t>407台中市西屯區市政北六路＊號</t>
  </si>
  <si>
    <t>806高雄市前鎮區鎮川＊巷＊號</t>
  </si>
  <si>
    <t>557南投縣竹山鎮東鄉路＊巷＊號</t>
  </si>
  <si>
    <t>268宜蘭縣五結鄉鎮安路＊巷＊弄＊號</t>
  </si>
  <si>
    <t>324桃園市平鎮區新富五街＊號</t>
  </si>
  <si>
    <t>324桃園市平鎮區中正三路＊號</t>
  </si>
  <si>
    <t>744台南市新市區華美街＊巷＊號</t>
  </si>
  <si>
    <t>324桃園市平鎮區龍南路＊巷＊號</t>
  </si>
  <si>
    <t>806高雄市前鎮區瑞福路＊號</t>
  </si>
  <si>
    <t>891金門縣金湖鎮市港三路＊號</t>
  </si>
  <si>
    <t>407台中市西屯區惠來里市政路＊號</t>
  </si>
  <si>
    <t>324桃園市平鎮區南京路＊巷＊號</t>
  </si>
  <si>
    <t>324桃園市平鎮區德育路＊段＊號</t>
  </si>
  <si>
    <t>324桃園市平鎮區環南路＊段＊號</t>
  </si>
  <si>
    <t>806高雄市前鎮區崗山南街＊巷＊號</t>
  </si>
  <si>
    <t>407台中市西屯區市政北一路＊號</t>
  </si>
  <si>
    <t>324桃園市平鎮區復旦路＊段＊巷＊號</t>
  </si>
  <si>
    <t>744台南市新市區豐華＊號</t>
  </si>
  <si>
    <t>744台南市新市區永華三街＊號</t>
  </si>
  <si>
    <t>324桃園市平鎮區東光路＊巷＊號</t>
  </si>
  <si>
    <t>806高雄市前鎮區光華三路＊號</t>
  </si>
  <si>
    <t>324桃園市平鎮區貿三路＊號</t>
  </si>
  <si>
    <t>806高雄市前鎮區和平二路＊號</t>
  </si>
  <si>
    <t>806高雄市前鎮區崗山東街＊巷＊號</t>
  </si>
  <si>
    <t>806高雄市前鎮區籬仔內路＊巷＊號</t>
  </si>
  <si>
    <t>300新竹市新竹市北區東大路＊段＊巷＊號</t>
  </si>
  <si>
    <t>324桃園市平鎮區廣泰路＊巷＊弄＊號</t>
  </si>
  <si>
    <t>324桃園市平鎮區中豐路＊段＊號</t>
  </si>
  <si>
    <t>324桃園市平鎮區游泳路＊巷＊弄＊號</t>
  </si>
  <si>
    <t>830高雄市鳳山區鎮西里文聖街＊號</t>
  </si>
  <si>
    <t>807高雄市三民區市中一路＊號</t>
  </si>
  <si>
    <t>806高雄市前鎮區鄭和南路＊號</t>
  </si>
  <si>
    <t>221新北市汐止區鄉長路＊段＊號</t>
  </si>
  <si>
    <t>324桃園市平鎮區龍德路＊巷＊號</t>
  </si>
  <si>
    <t>324桃園市平鎮區高雙路＊號</t>
  </si>
  <si>
    <t>744台南市新市區復興路＊號</t>
  </si>
  <si>
    <t>806高雄市前鎮區草衙中街＊號</t>
  </si>
  <si>
    <t>806高雄市前鎮區復興三路＊號</t>
  </si>
  <si>
    <t>806高雄市前鎮區一心二路＊號</t>
  </si>
  <si>
    <t>324桃園市平鎮區雅豐街＊巷＊號</t>
  </si>
  <si>
    <t>324桃園市平鎮區必達路＊巷＊弄＊號</t>
  </si>
  <si>
    <t>806高雄市前鎮區鎮洋路＊號</t>
  </si>
  <si>
    <t>806高雄市前鎮區天后街＊號</t>
  </si>
  <si>
    <t>324桃園市平鎮區東豐路＊巷＊號</t>
  </si>
  <si>
    <t>806高雄市前鎮區中華五路＊號</t>
  </si>
  <si>
    <t>806高雄市前鎮區萬和街＊號</t>
  </si>
  <si>
    <t>324桃園市平鎮區北興街＊段＊號</t>
  </si>
  <si>
    <t>806高雄市前鎮區瑞祥街＊巷＊號</t>
  </si>
  <si>
    <t>251新北市淡水區新市二路＊段＊號</t>
  </si>
  <si>
    <t>324桃園市平鎮區龍德路＊號</t>
  </si>
  <si>
    <t>806高雄市前鎮區凱旋三路＊號</t>
  </si>
  <si>
    <t>407台中市西屯區市政北二路＊號</t>
  </si>
  <si>
    <t>806高雄市前鎮區林森三路＊號</t>
  </si>
  <si>
    <t>744台南市新市區和平街＊巷＊弄＊號</t>
  </si>
  <si>
    <t>640雲林縣斗六市鎮北路＊巷＊號</t>
  </si>
  <si>
    <t>433台中市沙鹿區鎮南路＊段＊巷＊號</t>
  </si>
  <si>
    <t>806高雄市前鎮區南天街＊號</t>
  </si>
  <si>
    <t>806高雄市前鎮區民權二路＊號</t>
  </si>
  <si>
    <t>324桃園市平鎮區金陵路＊段＊巷＊弄＊號</t>
  </si>
  <si>
    <t>840高雄市大樹區新鎮路＊巷＊號</t>
  </si>
  <si>
    <t>徐曼甄</t>
  </si>
  <si>
    <t>成淳綸</t>
  </si>
  <si>
    <t>李琦愷</t>
  </si>
  <si>
    <t>吳佳亭</t>
  </si>
  <si>
    <t>吳養襄</t>
  </si>
  <si>
    <t>林雲蓉</t>
  </si>
  <si>
    <t>施熙瑄</t>
  </si>
  <si>
    <t>林禮人</t>
  </si>
  <si>
    <t>周捷虹</t>
  </si>
  <si>
    <t>蔡文秋</t>
  </si>
  <si>
    <t>毛伊鈞</t>
  </si>
  <si>
    <t>楊玗瑋</t>
  </si>
  <si>
    <t>許泱瑜</t>
  </si>
  <si>
    <t>許家茜</t>
  </si>
  <si>
    <t>陳元倫</t>
  </si>
  <si>
    <t>王安羽</t>
  </si>
  <si>
    <t>邱俊儒</t>
  </si>
  <si>
    <t>陳佳妮</t>
  </si>
  <si>
    <t>胡品渝</t>
  </si>
  <si>
    <t>孫翊瑋</t>
  </si>
  <si>
    <t>陳思寧</t>
  </si>
  <si>
    <t>陳采安</t>
  </si>
  <si>
    <t>蔡萱淳</t>
  </si>
  <si>
    <t>郭昀櫻</t>
  </si>
  <si>
    <t>王郁文</t>
  </si>
  <si>
    <t>鄭士良</t>
  </si>
  <si>
    <t>林昌廷</t>
  </si>
  <si>
    <t>陳力愷</t>
  </si>
  <si>
    <t>林永芸</t>
  </si>
  <si>
    <t>陳凱澤</t>
  </si>
  <si>
    <t>王禮奇</t>
  </si>
  <si>
    <t>鄭藤龍</t>
  </si>
  <si>
    <t>鄭文楷</t>
  </si>
  <si>
    <t>許貽伸</t>
  </si>
  <si>
    <t>謝博恩</t>
  </si>
  <si>
    <t>許建庭</t>
  </si>
  <si>
    <t>謝凱丞</t>
  </si>
  <si>
    <t>徐韋宜</t>
  </si>
  <si>
    <t>楊庭宇</t>
  </si>
  <si>
    <t>陳皓豪</t>
  </si>
  <si>
    <t>蔡庭誼</t>
  </si>
  <si>
    <t>白祈宣</t>
  </si>
  <si>
    <t>陳子宏</t>
  </si>
  <si>
    <t>陳明倢</t>
  </si>
  <si>
    <t>黃詩樺</t>
  </si>
  <si>
    <t>陳宜毅</t>
  </si>
  <si>
    <t>李昕欽</t>
  </si>
  <si>
    <t>江筠翔</t>
  </si>
  <si>
    <t>張飛霆</t>
  </si>
  <si>
    <t>朱妤琪</t>
  </si>
  <si>
    <t>陳羽宗</t>
  </si>
  <si>
    <t>吳璨瑞</t>
  </si>
  <si>
    <t>魏楷希</t>
  </si>
  <si>
    <t>地址</t>
    <phoneticPr fontId="5" type="noConversion"/>
  </si>
  <si>
    <t>編號</t>
    <phoneticPr fontId="5" type="noConversion"/>
  </si>
  <si>
    <t>CR122</t>
    <phoneticPr fontId="5" type="noConversion"/>
  </si>
  <si>
    <t>CR123</t>
  </si>
  <si>
    <t>CR124</t>
  </si>
  <si>
    <t>CR125</t>
  </si>
  <si>
    <t>CR126</t>
  </si>
  <si>
    <t>CR127</t>
  </si>
  <si>
    <t>CR128</t>
  </si>
  <si>
    <t>CR129</t>
  </si>
  <si>
    <t>CR130</t>
  </si>
  <si>
    <t>CR131</t>
  </si>
  <si>
    <t>CR132</t>
  </si>
  <si>
    <t>CR133</t>
  </si>
  <si>
    <t>CR134</t>
  </si>
  <si>
    <t>CR135</t>
  </si>
  <si>
    <t>CR136</t>
  </si>
  <si>
    <t>CR137</t>
  </si>
  <si>
    <t>CR138</t>
  </si>
  <si>
    <t>CR139</t>
  </si>
  <si>
    <t>CR140</t>
  </si>
  <si>
    <t>CR141</t>
  </si>
  <si>
    <t>CR142</t>
  </si>
  <si>
    <t>CR143</t>
  </si>
  <si>
    <t>CR144</t>
  </si>
  <si>
    <t>CR145</t>
  </si>
  <si>
    <t>CR146</t>
  </si>
  <si>
    <t>CR147</t>
  </si>
  <si>
    <t>CR148</t>
  </si>
  <si>
    <t>CR149</t>
  </si>
  <si>
    <t>CR150</t>
  </si>
  <si>
    <t>CR151</t>
  </si>
  <si>
    <t>CR152</t>
  </si>
  <si>
    <t>CR153</t>
  </si>
  <si>
    <t>CR154</t>
  </si>
  <si>
    <t>CR155</t>
  </si>
  <si>
    <t>CR156</t>
  </si>
  <si>
    <t>CR157</t>
  </si>
  <si>
    <t>CR158</t>
  </si>
  <si>
    <t>CR159</t>
  </si>
  <si>
    <t>CR160</t>
  </si>
  <si>
    <t>CR161</t>
  </si>
  <si>
    <t>CR162</t>
  </si>
  <si>
    <t>CR163</t>
  </si>
  <si>
    <t>CR164</t>
  </si>
  <si>
    <t>CR165</t>
  </si>
  <si>
    <t>CR166</t>
  </si>
  <si>
    <t>CR167</t>
  </si>
  <si>
    <t>CR168</t>
  </si>
  <si>
    <t>CR169</t>
  </si>
  <si>
    <t>CR170</t>
  </si>
  <si>
    <t>CR171</t>
  </si>
  <si>
    <t>CR172</t>
  </si>
  <si>
    <t>CR173</t>
  </si>
  <si>
    <t>CR174</t>
  </si>
  <si>
    <t>CR175</t>
  </si>
  <si>
    <t>CR176</t>
  </si>
  <si>
    <t>CR177</t>
  </si>
  <si>
    <t>CR178</t>
  </si>
  <si>
    <t>CR179</t>
  </si>
  <si>
    <t>CR180</t>
  </si>
  <si>
    <t>CR181</t>
  </si>
  <si>
    <t>CR182</t>
  </si>
  <si>
    <t>CR183</t>
  </si>
  <si>
    <t>CR184</t>
  </si>
  <si>
    <t>CR185</t>
  </si>
  <si>
    <t>CR186</t>
  </si>
  <si>
    <t>CR187</t>
  </si>
  <si>
    <t>CR188</t>
  </si>
  <si>
    <t>CR189</t>
  </si>
  <si>
    <t>CR190</t>
  </si>
  <si>
    <t>CR191</t>
  </si>
  <si>
    <t>CR192</t>
  </si>
  <si>
    <t>CR193</t>
  </si>
  <si>
    <t>CR194</t>
  </si>
  <si>
    <t>CR195</t>
  </si>
  <si>
    <t>CR196</t>
  </si>
  <si>
    <t>CR197</t>
  </si>
  <si>
    <t>CR198</t>
  </si>
  <si>
    <t>CR199</t>
  </si>
  <si>
    <t>CR200</t>
  </si>
  <si>
    <t>CR201</t>
  </si>
  <si>
    <t>CR202</t>
  </si>
  <si>
    <t>CR203</t>
  </si>
  <si>
    <t>CR204</t>
  </si>
  <si>
    <t>CR205</t>
  </si>
  <si>
    <t>CR206</t>
  </si>
  <si>
    <t>CR207</t>
  </si>
  <si>
    <t>CR208</t>
  </si>
  <si>
    <t>CR209</t>
  </si>
  <si>
    <t>CR210</t>
  </si>
  <si>
    <t>CR211</t>
  </si>
  <si>
    <t>CR212</t>
  </si>
  <si>
    <t>CR213</t>
  </si>
  <si>
    <t>CR214</t>
  </si>
  <si>
    <t>CR215</t>
  </si>
  <si>
    <t>CR216</t>
  </si>
  <si>
    <t>CR217</t>
  </si>
  <si>
    <t>CR218</t>
  </si>
  <si>
    <t>CR219</t>
  </si>
  <si>
    <t>CR220</t>
  </si>
  <si>
    <t>CR221</t>
  </si>
  <si>
    <t>CR222</t>
  </si>
  <si>
    <t>CR223</t>
  </si>
  <si>
    <t>CR224</t>
  </si>
  <si>
    <t>CR225</t>
  </si>
  <si>
    <t>CR226</t>
  </si>
  <si>
    <t>CR227</t>
  </si>
  <si>
    <t>CR228</t>
  </si>
  <si>
    <t>CR229</t>
  </si>
  <si>
    <t>入會日期</t>
    <phoneticPr fontId="5" type="noConversion"/>
  </si>
  <si>
    <t>手機號碼</t>
    <phoneticPr fontId="5" type="noConversion"/>
  </si>
  <si>
    <t>國緯公司會員清單</t>
    <phoneticPr fontId="5" type="noConversion"/>
  </si>
  <si>
    <t>身份證字號</t>
  </si>
  <si>
    <t>年齡</t>
  </si>
  <si>
    <t>姓名</t>
  </si>
  <si>
    <t>吳友毅</t>
  </si>
  <si>
    <t>王郁淳</t>
  </si>
  <si>
    <t>柯霈翔</t>
  </si>
  <si>
    <t>黃靖瑋</t>
  </si>
  <si>
    <t>陳逸瑄</t>
  </si>
  <si>
    <t>呂宣舫</t>
  </si>
  <si>
    <t>楊昕婷</t>
  </si>
  <si>
    <t>王宥靜</t>
  </si>
  <si>
    <t>賴韻屏</t>
  </si>
  <si>
    <t>施玉毅</t>
  </si>
  <si>
    <t>楊羿德</t>
  </si>
  <si>
    <t>林孟蔚</t>
  </si>
  <si>
    <t>鍾郁翔</t>
  </si>
  <si>
    <t>何一涵</t>
  </si>
  <si>
    <t>廖晟諺</t>
  </si>
  <si>
    <t>李意雅</t>
  </si>
  <si>
    <t>黃宥茜</t>
  </si>
  <si>
    <t>張子如</t>
  </si>
  <si>
    <t>魏琬翰</t>
  </si>
  <si>
    <t>葉翊瑜</t>
  </si>
  <si>
    <t>吳宛媛</t>
  </si>
  <si>
    <t>郭昭鈞</t>
  </si>
  <si>
    <t>劉玉馨</t>
  </si>
  <si>
    <t>孫雅萱</t>
  </si>
  <si>
    <t>呂聖祥</t>
  </si>
  <si>
    <t>林幸韻</t>
  </si>
  <si>
    <t>李永邗</t>
  </si>
  <si>
    <t>賴楚穎</t>
  </si>
  <si>
    <t>陳立佳</t>
  </si>
  <si>
    <t>李沂元</t>
  </si>
  <si>
    <t>蘇哲勝</t>
  </si>
  <si>
    <t>徐孝全</t>
  </si>
  <si>
    <t>張小安</t>
  </si>
  <si>
    <t>簡承維</t>
  </si>
  <si>
    <t>楊鎮銘</t>
  </si>
  <si>
    <t>陳聖威</t>
  </si>
  <si>
    <t>何婕安</t>
  </si>
  <si>
    <t>黃柏鑫</t>
  </si>
  <si>
    <t>江怡均</t>
  </si>
  <si>
    <t>曾翊涵</t>
  </si>
  <si>
    <t>陳至賢</t>
  </si>
  <si>
    <t>胡芸瑩</t>
  </si>
  <si>
    <t>李芷璿</t>
  </si>
  <si>
    <t>管玉婷</t>
  </si>
  <si>
    <t>郭嘉琳</t>
  </si>
  <si>
    <t>李予琳</t>
  </si>
  <si>
    <t>杜語凱</t>
  </si>
  <si>
    <t>郭冠傑</t>
  </si>
  <si>
    <t>劉姿臻</t>
  </si>
  <si>
    <t>洪昱晴</t>
  </si>
  <si>
    <t>黃素璇</t>
  </si>
  <si>
    <t>曾珮如</t>
  </si>
  <si>
    <t>葉韋妤</t>
  </si>
  <si>
    <t>L1******35</t>
  </si>
  <si>
    <t>F1******11</t>
  </si>
  <si>
    <t>F1******95</t>
  </si>
  <si>
    <t>C2******14</t>
  </si>
  <si>
    <t>F1******86</t>
  </si>
  <si>
    <t>P2******77</t>
  </si>
  <si>
    <t>A2******18</t>
  </si>
  <si>
    <t>H2******54</t>
  </si>
  <si>
    <t>C2******05</t>
  </si>
  <si>
    <t>N1******02</t>
  </si>
  <si>
    <t>N1******95</t>
  </si>
  <si>
    <t>K1******01</t>
  </si>
  <si>
    <t>N1******86</t>
  </si>
  <si>
    <t>L2******14</t>
  </si>
  <si>
    <t>K1******94</t>
  </si>
  <si>
    <t>F2******46</t>
  </si>
  <si>
    <t>C2******32</t>
  </si>
  <si>
    <t>D1******17</t>
  </si>
  <si>
    <t>N2******57</t>
  </si>
  <si>
    <t>H2******81</t>
  </si>
  <si>
    <t>B1******00</t>
  </si>
  <si>
    <t>D2******86</t>
  </si>
  <si>
    <t>K1******85</t>
  </si>
  <si>
    <t>K2******71</t>
  </si>
  <si>
    <t>D2******68</t>
  </si>
  <si>
    <t>H1******68</t>
  </si>
  <si>
    <t>A2******09</t>
  </si>
  <si>
    <t>L1******44</t>
  </si>
  <si>
    <t>P1******17</t>
  </si>
  <si>
    <t>P1******26</t>
  </si>
  <si>
    <t>A1******63</t>
  </si>
  <si>
    <t>A1******47</t>
  </si>
  <si>
    <t>A1******87</t>
  </si>
  <si>
    <t>A1******73</t>
  </si>
  <si>
    <t>E1******49</t>
  </si>
  <si>
    <t>E1******84</t>
  </si>
  <si>
    <t>O1******36</t>
  </si>
  <si>
    <t>N1******50</t>
  </si>
  <si>
    <t>N1******26</t>
  </si>
  <si>
    <t>M1******60</t>
  </si>
  <si>
    <t>B1******24</t>
  </si>
  <si>
    <t>B1******29</t>
  </si>
  <si>
    <t>B1******42</t>
  </si>
  <si>
    <t>B1******37</t>
  </si>
  <si>
    <t>B1******86</t>
  </si>
  <si>
    <t>B1******51</t>
  </si>
  <si>
    <t>O1******67</t>
  </si>
  <si>
    <t>O1******69</t>
  </si>
  <si>
    <t>H1******52</t>
  </si>
  <si>
    <t>H1******82</t>
  </si>
  <si>
    <t>F1******60</t>
  </si>
  <si>
    <t>F1******77</t>
  </si>
  <si>
    <t>F1******75</t>
  </si>
  <si>
    <t>F1******36</t>
  </si>
  <si>
    <t>F1******29</t>
  </si>
  <si>
    <t>F1******68</t>
  </si>
  <si>
    <t>F1******50</t>
  </si>
  <si>
    <t>H1******62</t>
  </si>
  <si>
    <t>H1******37</t>
  </si>
  <si>
    <t>G1******54</t>
  </si>
  <si>
    <t>D1******93</t>
  </si>
  <si>
    <t>H1******53</t>
  </si>
  <si>
    <t>C1******79</t>
  </si>
  <si>
    <t>C1******37</t>
  </si>
  <si>
    <t>C1******25</t>
  </si>
  <si>
    <t>D1******59</t>
  </si>
  <si>
    <t>D1******34</t>
  </si>
  <si>
    <t>G1******40</t>
  </si>
  <si>
    <t>G1******89</t>
  </si>
  <si>
    <t>I1******59</t>
  </si>
  <si>
    <t>Q1******68</t>
  </si>
  <si>
    <t>Q1******89</t>
  </si>
  <si>
    <t>U1******46</t>
  </si>
  <si>
    <t>X1******38</t>
  </si>
  <si>
    <t>X1******37</t>
  </si>
  <si>
    <t>T1******14</t>
  </si>
  <si>
    <t>A1******37</t>
  </si>
  <si>
    <t>A2******24</t>
  </si>
  <si>
    <t>A2******28</t>
  </si>
  <si>
    <t>A2******75</t>
  </si>
  <si>
    <t>A2******00</t>
  </si>
  <si>
    <t>A2******29</t>
  </si>
  <si>
    <t>A2******13</t>
  </si>
  <si>
    <t>E2******41</t>
  </si>
  <si>
    <t>O2******36</t>
  </si>
  <si>
    <t>N2******46</t>
  </si>
  <si>
    <t>B2******55</t>
  </si>
  <si>
    <t>B2******28</t>
  </si>
  <si>
    <t>B2******26</t>
  </si>
  <si>
    <t>B2******35</t>
  </si>
  <si>
    <t>E2******39</t>
  </si>
  <si>
    <t>E2******29</t>
  </si>
  <si>
    <t>M2******46</t>
  </si>
  <si>
    <t>M2******34</t>
  </si>
  <si>
    <t>F2******36</t>
  </si>
  <si>
    <t>F2******27</t>
  </si>
  <si>
    <t>F2******31</t>
  </si>
  <si>
    <t>F2******53</t>
  </si>
  <si>
    <t>F2******62</t>
  </si>
  <si>
    <t>O2******53</t>
  </si>
  <si>
    <t>N2******02</t>
  </si>
  <si>
    <t>H2******59</t>
  </si>
  <si>
    <t>H2******89</t>
  </si>
  <si>
    <t>0937****04</t>
  </si>
  <si>
    <t>0907****03</t>
  </si>
  <si>
    <t>0956****45</t>
  </si>
  <si>
    <t>0982****28</t>
  </si>
  <si>
    <t>0993****88</t>
  </si>
  <si>
    <t>0952****49</t>
  </si>
  <si>
    <t>0966****18</t>
  </si>
  <si>
    <t>0981****16</t>
  </si>
  <si>
    <t>0985****19</t>
  </si>
  <si>
    <t>0906****57</t>
  </si>
  <si>
    <t>0986****54</t>
  </si>
  <si>
    <t>0921****43</t>
  </si>
  <si>
    <t>0926****18</t>
  </si>
  <si>
    <t>0986****48</t>
  </si>
  <si>
    <t>0990****18</t>
  </si>
  <si>
    <t>0961****55</t>
  </si>
  <si>
    <t>0944****38</t>
  </si>
  <si>
    <t>0954****34</t>
  </si>
  <si>
    <t>0980****31</t>
  </si>
  <si>
    <t>0992****57</t>
  </si>
  <si>
    <t>0971****43</t>
  </si>
  <si>
    <t>0906****15</t>
  </si>
  <si>
    <t>0965****49</t>
  </si>
  <si>
    <t>0955****39</t>
  </si>
  <si>
    <t>0979****66</t>
  </si>
  <si>
    <t>0956****82</t>
  </si>
  <si>
    <t>0940****41</t>
  </si>
  <si>
    <t>0957****94</t>
  </si>
  <si>
    <t>0958****65</t>
  </si>
  <si>
    <t>0982****37</t>
  </si>
  <si>
    <t>0941****44</t>
  </si>
  <si>
    <t>0927****33</t>
  </si>
  <si>
    <t>0979****43</t>
  </si>
  <si>
    <t>0976****21</t>
  </si>
  <si>
    <t>0958****67</t>
  </si>
  <si>
    <t>0928****51</t>
  </si>
  <si>
    <t>0912****79</t>
  </si>
  <si>
    <t>0944****29</t>
  </si>
  <si>
    <t>0989****26</t>
  </si>
  <si>
    <t>0916****22</t>
  </si>
  <si>
    <t>0977****32</t>
  </si>
  <si>
    <t>0975****01</t>
  </si>
  <si>
    <t>0994****47</t>
  </si>
  <si>
    <t>0996****13</t>
  </si>
  <si>
    <t>0907****34</t>
  </si>
  <si>
    <t>0907****73</t>
  </si>
  <si>
    <t>0963****05</t>
  </si>
  <si>
    <t>0964****84</t>
  </si>
  <si>
    <t>0958****27</t>
  </si>
  <si>
    <t>0961****25</t>
  </si>
  <si>
    <t>0984****07</t>
  </si>
  <si>
    <t>0964****04</t>
  </si>
  <si>
    <t>0950****48</t>
  </si>
  <si>
    <t>0934****23</t>
  </si>
  <si>
    <t>0956****87</t>
  </si>
  <si>
    <t>0902****52</t>
  </si>
  <si>
    <t>0904****47</t>
  </si>
  <si>
    <t>0963****62</t>
  </si>
  <si>
    <t>0997****37</t>
  </si>
  <si>
    <t>0903****52</t>
  </si>
  <si>
    <t>0955****46</t>
  </si>
  <si>
    <t>0900****54</t>
  </si>
  <si>
    <t>0955****02</t>
  </si>
  <si>
    <t>0937****77</t>
  </si>
  <si>
    <t>0970****09</t>
  </si>
  <si>
    <t>0984****27</t>
  </si>
  <si>
    <t>0914****03</t>
  </si>
  <si>
    <t>0920****24</t>
  </si>
  <si>
    <t>0935****73</t>
  </si>
  <si>
    <t>0919****71</t>
  </si>
  <si>
    <t>0913****87</t>
  </si>
  <si>
    <t>0991****81</t>
  </si>
  <si>
    <t>0909****72</t>
  </si>
  <si>
    <t>0971****22</t>
  </si>
  <si>
    <t>0905****59</t>
  </si>
  <si>
    <t>0902****45</t>
  </si>
  <si>
    <t>0996****42</t>
  </si>
  <si>
    <t>0987****17</t>
  </si>
  <si>
    <t>0990****54</t>
  </si>
  <si>
    <t>0976****75</t>
  </si>
  <si>
    <t>0918****72</t>
  </si>
  <si>
    <t>0994****73</t>
  </si>
  <si>
    <t>0982****67</t>
  </si>
  <si>
    <t>0971****35</t>
  </si>
  <si>
    <t>0960****05</t>
  </si>
  <si>
    <t>0985****18</t>
  </si>
  <si>
    <t>0912****17</t>
  </si>
  <si>
    <t>0930****54</t>
  </si>
  <si>
    <t>0933****68</t>
  </si>
  <si>
    <t>0918****49</t>
  </si>
  <si>
    <t>0924****43</t>
  </si>
  <si>
    <t>0948****58</t>
  </si>
  <si>
    <t>0996****49</t>
  </si>
  <si>
    <t>0968****74</t>
  </si>
  <si>
    <t>0974****43</t>
  </si>
  <si>
    <t>0960****31</t>
  </si>
  <si>
    <t>0947****22</t>
  </si>
  <si>
    <t>0907****46</t>
  </si>
  <si>
    <t>0938****06</t>
  </si>
  <si>
    <t>0934****48</t>
  </si>
  <si>
    <t>0984****42</t>
  </si>
  <si>
    <t>0944****31</t>
  </si>
  <si>
    <t>0920****16</t>
  </si>
  <si>
    <t>0978****71</t>
  </si>
  <si>
    <t>0943****39</t>
  </si>
  <si>
    <t>0907****52</t>
  </si>
  <si>
    <t>0929****58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</si>
</sst>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 "/>
    <numFmt numFmtId="177" formatCode="&quot;$&quot;#,##0"/>
    <numFmt numFmtId="179" formatCode="0.0%"/>
  </numFmts>
  <fonts count="8" x14ac:knownFonts="1">
    <font>
      <sz val="11"/>
      <color theme="1"/>
      <name val="新細明體"/>
      <family val="2"/>
      <scheme val="minor"/>
    </font>
    <font>
      <sz val="11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1"/>
      <color theme="0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sz val="9"/>
      <name val="新細明體"/>
      <family val="3"/>
      <charset val="136"/>
      <scheme val="minor"/>
    </font>
    <font>
      <b/>
      <sz val="16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/>
      <top/>
      <bottom style="thin">
        <color theme="4" tint="0.39994506668294322"/>
      </bottom>
      <diagonal/>
    </border>
    <border>
      <left/>
      <right style="thin">
        <color theme="4" tint="0.39994506668294322"/>
      </right>
      <top style="thin">
        <color theme="4" tint="0.39994506668294322"/>
      </top>
      <bottom/>
      <diagonal/>
    </border>
    <border>
      <left/>
      <right/>
      <top/>
      <bottom style="thin">
        <color theme="4" tint="0.39994506668294322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right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/>
    <xf numFmtId="0" fontId="6" fillId="0" borderId="0" xfId="0" applyFont="1"/>
    <xf numFmtId="0" fontId="2" fillId="0" borderId="0" xfId="0" applyNumberFormat="1" applyFont="1"/>
    <xf numFmtId="0" fontId="4" fillId="0" borderId="0" xfId="0" applyFont="1"/>
    <xf numFmtId="0" fontId="7" fillId="0" borderId="0" xfId="0" applyFont="1"/>
    <xf numFmtId="176" fontId="2" fillId="3" borderId="1" xfId="0" applyNumberFormat="1" applyFont="1" applyFill="1" applyBorder="1"/>
    <xf numFmtId="176" fontId="2" fillId="0" borderId="1" xfId="0" applyNumberFormat="1" applyFont="1" applyBorder="1"/>
    <xf numFmtId="0" fontId="3" fillId="2" borderId="3" xfId="0" applyFont="1" applyFill="1" applyBorder="1"/>
    <xf numFmtId="0" fontId="3" fillId="2" borderId="4" xfId="0" applyFont="1" applyFill="1" applyBorder="1" applyAlignment="1">
      <alignment horizontal="right"/>
    </xf>
    <xf numFmtId="0" fontId="2" fillId="0" borderId="0" xfId="0" applyFont="1" applyAlignment="1">
      <alignment horizontal="right"/>
    </xf>
    <xf numFmtId="176" fontId="2" fillId="0" borderId="0" xfId="0" applyNumberFormat="1" applyFont="1"/>
    <xf numFmtId="0" fontId="2" fillId="0" borderId="2" xfId="0" applyFont="1" applyFill="1" applyBorder="1"/>
    <xf numFmtId="0" fontId="2" fillId="0" borderId="5" xfId="0" applyFont="1" applyFill="1" applyBorder="1"/>
    <xf numFmtId="0" fontId="3" fillId="2" borderId="6" xfId="0" applyFont="1" applyFill="1" applyBorder="1"/>
    <xf numFmtId="0" fontId="2" fillId="0" borderId="0" xfId="0" applyFont="1" applyFill="1" applyBorder="1"/>
    <xf numFmtId="177" fontId="2" fillId="0" borderId="0" xfId="0" applyNumberFormat="1" applyFont="1" applyFill="1" applyBorder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/>
    <xf numFmtId="9" fontId="1" fillId="0" borderId="0" xfId="0" applyNumberFormat="1" applyFont="1"/>
    <xf numFmtId="179" fontId="1" fillId="0" borderId="0" xfId="0" applyNumberFormat="1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vertical="center"/>
    </xf>
    <xf numFmtId="0" fontId="3" fillId="2" borderId="6" xfId="0" applyFont="1" applyFill="1" applyBorder="1" applyAlignment="1">
      <alignment horizontal="center"/>
    </xf>
    <xf numFmtId="0" fontId="1" fillId="0" borderId="0" xfId="0" pivotButton="1" applyFont="1"/>
    <xf numFmtId="177" fontId="1" fillId="0" borderId="0" xfId="0" applyNumberFormat="1" applyFont="1"/>
    <xf numFmtId="176" fontId="1" fillId="0" borderId="0" xfId="0" applyNumberFormat="1" applyFont="1"/>
    <xf numFmtId="0" fontId="1" fillId="0" borderId="0" xfId="0" pivotButton="1" applyFont="1" applyAlignment="1">
      <alignment horizontal="center"/>
    </xf>
  </cellXfs>
  <cellStyles count="1">
    <cellStyle name="一般" xfId="0" builtinId="0"/>
  </cellStyles>
  <dxfs count="61">
    <dxf>
      <alignment horizontal="center"/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numFmt numFmtId="176" formatCode="#,##0_ "/>
    </dxf>
    <dxf>
      <alignment horizontal="right"/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numFmt numFmtId="176" formatCode="#,##0_ "/>
    </dxf>
    <dxf>
      <alignment horizontal="right"/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numFmt numFmtId="176" formatCode="#,##0_ "/>
    </dxf>
    <dxf>
      <alignment horizontal="right"/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numFmt numFmtId="176" formatCode="#,##0_ "/>
    </dxf>
    <dxf>
      <alignment horizontal="right"/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numFmt numFmtId="176" formatCode="#,##0_ "/>
    </dxf>
    <dxf>
      <alignment horizontal="righ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1"/>
        <name val="微軟正黑體"/>
        <family val="2"/>
        <charset val="136"/>
        <scheme val="none"/>
      </font>
      <numFmt numFmtId="176" formatCode="#,##0_ "/>
    </dxf>
    <dxf>
      <font>
        <strike val="0"/>
        <outline val="0"/>
        <shadow val="0"/>
        <u val="none"/>
        <vertAlign val="baseline"/>
        <sz val="11"/>
        <name val="微軟正黑體"/>
        <family val="2"/>
        <charset val="136"/>
        <scheme val="none"/>
      </font>
      <numFmt numFmtId="176" formatCode="#,##0_ "/>
    </dxf>
    <dxf>
      <font>
        <strike val="0"/>
        <outline val="0"/>
        <shadow val="0"/>
        <u val="none"/>
        <vertAlign val="baseline"/>
        <sz val="11"/>
        <name val="微軟正黑體"/>
        <family val="2"/>
        <charset val="136"/>
        <scheme val="none"/>
      </font>
      <numFmt numFmtId="176" formatCode="#,##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numFmt numFmtId="176" formatCode="#,##0_ "/>
      <border diagonalUp="0" diagonalDown="0" outline="0">
        <left style="thin">
          <color theme="4" tint="0.39994506668294322"/>
        </left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numFmt numFmtId="177" formatCode="&quot;$&quot;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</border>
    </dxf>
    <dxf>
      <border outline="0">
        <top style="thin">
          <color theme="4" tint="0.39994506668294322"/>
        </top>
      </border>
    </dxf>
    <dxf>
      <border outline="0"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</border>
    </dxf>
    <dxf>
      <font>
        <strike val="0"/>
        <outline val="0"/>
        <shadow val="0"/>
        <u val="none"/>
        <vertAlign val="baseline"/>
        <sz val="11"/>
        <name val="微軟正黑體"/>
        <family val="2"/>
        <charset val="136"/>
        <scheme val="none"/>
      </font>
    </dxf>
    <dxf>
      <border outline="0">
        <bottom style="thin">
          <color theme="4" tint="0.39994506668294322"/>
        </bottom>
      </border>
    </dxf>
    <dxf>
      <font>
        <strike val="0"/>
        <outline val="0"/>
        <shadow val="0"/>
        <u val="none"/>
        <vertAlign val="baseline"/>
        <sz val="11"/>
        <name val="微軟正黑體"/>
        <family val="2"/>
        <charset val="136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王仲麒" refreshedDate="44262.910909375001" createdVersion="6" refreshedVersion="6" minRefreshableVersion="3" recordCount="30" xr:uid="{DB19F469-B576-409D-9060-FCB355438A0B}">
  <cacheSource type="worksheet">
    <worksheetSource name="近三年銷售"/>
  </cacheSource>
  <cacheFields count="7">
    <cacheField name="車款" numFmtId="0">
      <sharedItems count="10">
        <s v="公路越野車"/>
        <s v="公路車"/>
        <s v="登山車"/>
        <s v="極限單車"/>
        <s v="摺疊車"/>
        <s v="小徑車"/>
        <s v="旅行自行車"/>
        <s v="淑女車"/>
        <s v="單速車"/>
        <s v="鐵人三項車"/>
      </sharedItems>
    </cacheField>
    <cacheField name="自行車年份" numFmtId="0">
      <sharedItems count="3">
        <s v="2015年款"/>
        <s v="2016年款"/>
        <s v="2017年款"/>
      </sharedItems>
    </cacheField>
    <cacheField name="售價" numFmtId="177">
      <sharedItems containsSemiMixedTypes="0" containsString="0" containsNumber="1" containsInteger="1" minValue="38430" maxValue="797850" count="18">
        <n v="178650"/>
        <n v="190800"/>
        <n v="142200"/>
        <n v="151200"/>
        <n v="89820"/>
        <n v="94500"/>
        <n v="115200"/>
        <n v="124740"/>
        <n v="70650"/>
        <n v="79380"/>
        <n v="73800"/>
        <n v="38430"/>
        <n v="47250"/>
        <n v="52740"/>
        <n v="56520"/>
        <n v="60120"/>
        <n v="742500"/>
        <n v="797850"/>
      </sharedItems>
    </cacheField>
    <cacheField name="2018年銷售量" numFmtId="176">
      <sharedItems containsSemiMixedTypes="0" containsString="0" containsNumber="1" containsInteger="1" minValue="1241" maxValue="9562"/>
    </cacheField>
    <cacheField name="2019年銷售量" numFmtId="176">
      <sharedItems containsSemiMixedTypes="0" containsString="0" containsNumber="1" containsInteger="1" minValue="1024" maxValue="14238"/>
    </cacheField>
    <cacheField name="2020年銷售量" numFmtId="176">
      <sharedItems containsSemiMixedTypes="0" containsString="0" containsNumber="1" containsInteger="1" minValue="916" maxValue="10284"/>
    </cacheField>
    <cacheField name="合計" numFmtId="176">
      <sharedItems containsSemiMixedTypes="0" containsString="0" containsNumber="1" containsInteger="1" minValue="58559" maxValue="80175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x v="0"/>
    <n v="3412"/>
    <n v="3870"/>
    <n v="4162"/>
    <n v="190094"/>
  </r>
  <r>
    <x v="0"/>
    <x v="1"/>
    <x v="0"/>
    <n v="5986"/>
    <n v="12582"/>
    <n v="8896"/>
    <n v="206114"/>
  </r>
  <r>
    <x v="0"/>
    <x v="2"/>
    <x v="1"/>
    <n v="6030"/>
    <n v="6813"/>
    <n v="6030"/>
    <n v="209673"/>
  </r>
  <r>
    <x v="1"/>
    <x v="0"/>
    <x v="2"/>
    <n v="6866"/>
    <n v="8442"/>
    <n v="7876"/>
    <n v="165384"/>
  </r>
  <r>
    <x v="1"/>
    <x v="1"/>
    <x v="2"/>
    <n v="9562"/>
    <n v="8543"/>
    <n v="10284"/>
    <n v="170589"/>
  </r>
  <r>
    <x v="1"/>
    <x v="2"/>
    <x v="3"/>
    <n v="3430"/>
    <n v="4606"/>
    <n v="3244"/>
    <n v="162480"/>
  </r>
  <r>
    <x v="2"/>
    <x v="0"/>
    <x v="4"/>
    <n v="7149"/>
    <n v="8246"/>
    <n v="6941"/>
    <n v="112156"/>
  </r>
  <r>
    <x v="2"/>
    <x v="1"/>
    <x v="4"/>
    <n v="3970"/>
    <n v="3752"/>
    <n v="4363"/>
    <n v="101905"/>
  </r>
  <r>
    <x v="2"/>
    <x v="2"/>
    <x v="5"/>
    <n v="9289"/>
    <n v="12583"/>
    <n v="9383"/>
    <n v="125755"/>
  </r>
  <r>
    <x v="3"/>
    <x v="0"/>
    <x v="6"/>
    <n v="3930"/>
    <n v="4524"/>
    <n v="4570"/>
    <n v="128224"/>
  </r>
  <r>
    <x v="3"/>
    <x v="1"/>
    <x v="6"/>
    <n v="4665"/>
    <n v="6006"/>
    <n v="5363"/>
    <n v="131234"/>
  </r>
  <r>
    <x v="3"/>
    <x v="2"/>
    <x v="7"/>
    <n v="2561"/>
    <n v="2968"/>
    <n v="3547"/>
    <n v="133816"/>
  </r>
  <r>
    <x v="4"/>
    <x v="0"/>
    <x v="8"/>
    <n v="8734"/>
    <n v="9384"/>
    <n v="7940"/>
    <n v="96708"/>
  </r>
  <r>
    <x v="4"/>
    <x v="1"/>
    <x v="8"/>
    <n v="7524"/>
    <n v="6440"/>
    <n v="9866"/>
    <n v="94480"/>
  </r>
  <r>
    <x v="4"/>
    <x v="2"/>
    <x v="9"/>
    <n v="7984"/>
    <n v="8586"/>
    <n v="6779"/>
    <n v="102729"/>
  </r>
  <r>
    <x v="5"/>
    <x v="0"/>
    <x v="10"/>
    <n v="4428"/>
    <n v="5016"/>
    <n v="4519"/>
    <n v="87763"/>
  </r>
  <r>
    <x v="5"/>
    <x v="1"/>
    <x v="10"/>
    <n v="2846"/>
    <n v="2559"/>
    <n v="2392"/>
    <n v="81597"/>
  </r>
  <r>
    <x v="5"/>
    <x v="2"/>
    <x v="10"/>
    <n v="5081"/>
    <n v="4396"/>
    <n v="5710"/>
    <n v="88987"/>
  </r>
  <r>
    <x v="6"/>
    <x v="0"/>
    <x v="11"/>
    <n v="5829"/>
    <n v="6528"/>
    <n v="7772"/>
    <n v="58559"/>
  </r>
  <r>
    <x v="6"/>
    <x v="1"/>
    <x v="11"/>
    <n v="8228"/>
    <n v="14238"/>
    <n v="9524"/>
    <n v="70420"/>
  </r>
  <r>
    <x v="6"/>
    <x v="2"/>
    <x v="11"/>
    <n v="8926"/>
    <n v="12612"/>
    <n v="8265"/>
    <n v="68233"/>
  </r>
  <r>
    <x v="7"/>
    <x v="0"/>
    <x v="12"/>
    <n v="7984"/>
    <n v="9695"/>
    <n v="7752"/>
    <n v="72681"/>
  </r>
  <r>
    <x v="7"/>
    <x v="1"/>
    <x v="12"/>
    <n v="7123"/>
    <n v="8101"/>
    <n v="6984"/>
    <n v="69458"/>
  </r>
  <r>
    <x v="7"/>
    <x v="2"/>
    <x v="13"/>
    <n v="7517"/>
    <n v="6919"/>
    <n v="6653"/>
    <n v="73829"/>
  </r>
  <r>
    <x v="8"/>
    <x v="0"/>
    <x v="14"/>
    <n v="3949"/>
    <n v="5461"/>
    <n v="4876"/>
    <n v="70806"/>
  </r>
  <r>
    <x v="8"/>
    <x v="1"/>
    <x v="14"/>
    <n v="5445"/>
    <n v="4896"/>
    <n v="4996"/>
    <n v="71857"/>
  </r>
  <r>
    <x v="8"/>
    <x v="2"/>
    <x v="15"/>
    <n v="2447"/>
    <n v="3217"/>
    <n v="2750"/>
    <n v="68534"/>
  </r>
  <r>
    <x v="9"/>
    <x v="0"/>
    <x v="16"/>
    <n v="1315"/>
    <n v="1024"/>
    <n v="1265"/>
    <n v="746104"/>
  </r>
  <r>
    <x v="9"/>
    <x v="1"/>
    <x v="16"/>
    <n v="1241"/>
    <n v="1472"/>
    <n v="1217"/>
    <n v="746430"/>
  </r>
  <r>
    <x v="9"/>
    <x v="2"/>
    <x v="17"/>
    <n v="1429"/>
    <n v="1562"/>
    <n v="916"/>
    <n v="80175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D6283C-C583-4DDC-B461-F0B845753D90}" name="樞紐分析表7" cacheId="21" applyNumberFormats="0" applyBorderFormats="0" applyFontFormats="0" applyPatternFormats="0" applyAlignmentFormats="0" applyWidthHeightFormats="1" dataCaption="值" updatedVersion="6" minRefreshableVersion="3" itemPrintTitles="1" createdVersion="6" indent="0" compact="0" compactData="0" multipleFieldFilters="0">
  <location ref="A6:B25" firstHeaderRow="1" firstDataRow="1" firstDataCol="1" rowPageCount="1" colPageCount="1"/>
  <pivotFields count="7">
    <pivotField compact="0" outline="0" showAll="0">
      <items count="11">
        <item x="5"/>
        <item x="1"/>
        <item x="0"/>
        <item x="6"/>
        <item x="7"/>
        <item x="8"/>
        <item x="2"/>
        <item x="3"/>
        <item x="4"/>
        <item x="9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axis="axisRow" compact="0" numFmtId="177" outline="0" showAll="0">
      <items count="19">
        <item x="11"/>
        <item x="12"/>
        <item x="13"/>
        <item x="14"/>
        <item x="15"/>
        <item x="8"/>
        <item x="10"/>
        <item x="9"/>
        <item x="4"/>
        <item x="5"/>
        <item x="6"/>
        <item x="7"/>
        <item x="2"/>
        <item x="3"/>
        <item x="0"/>
        <item x="1"/>
        <item x="16"/>
        <item x="17"/>
        <item t="default"/>
      </items>
    </pivotField>
    <pivotField compact="0" numFmtId="176" outline="0" showAll="0"/>
    <pivotField compact="0" numFmtId="176" outline="0" showAll="0"/>
    <pivotField compact="0" numFmtId="176" outline="0" showAll="0"/>
    <pivotField dataField="1" compact="0" numFmtId="176" outline="0" showAll="0"/>
  </pivotFields>
  <rowFields count="1">
    <field x="2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pageFields count="1">
    <pageField fld="1" hier="-1"/>
  </pageFields>
  <dataFields count="1">
    <dataField name="總銷售量" fld="6" baseField="2" baseItem="1" numFmtId="176"/>
  </dataFields>
  <formats count="9">
    <format dxfId="17">
      <pivotArea type="all" dataOnly="0" outline="0" fieldPosition="0"/>
    </format>
    <format dxfId="18">
      <pivotArea outline="0" collapsedLevelsAreSubtotals="1" fieldPosition="0"/>
    </format>
    <format dxfId="19">
      <pivotArea field="2" type="button" dataOnly="0" labelOnly="1" outline="0" axis="axisRow" fieldPosition="0"/>
    </format>
    <format dxfId="20">
      <pivotArea dataOnly="0" labelOnly="1" outline="0" fieldPosition="0">
        <references count="1">
          <reference field="2" count="0"/>
        </references>
      </pivotArea>
    </format>
    <format dxfId="21">
      <pivotArea dataOnly="0" labelOnly="1" grandRow="1" outline="0" fieldPosition="0"/>
    </format>
    <format dxfId="22">
      <pivotArea dataOnly="0" labelOnly="1" outline="0" axis="axisValues" fieldPosition="0"/>
    </format>
    <format dxfId="23">
      <pivotArea outline="0" fieldPosition="0">
        <references count="1">
          <reference field="4294967294" count="1">
            <x v="0"/>
          </reference>
        </references>
      </pivotArea>
    </format>
    <format dxfId="24">
      <pivotArea dataOnly="0" labelOnly="1" outline="0" axis="axisValues" fieldPosition="0"/>
    </format>
    <format dxfId="0">
      <pivotArea field="2" type="button" dataOnly="0" labelOnly="1" outline="0" axis="axisRow" fieldPosition="0"/>
    </format>
  </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3535E16-9E12-4A2A-9947-2F2BB2ECD7E5}" name="表格3" displayName="表格3" ref="L3:R7" totalsRowShown="0" headerRowDxfId="41">
  <autoFilter ref="L3:R7" xr:uid="{8F446AF2-49E5-4764-A307-23EC5978EA6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6CDB7AC9-2588-42A9-913A-E5628198A331}" name="會員等級" dataDxfId="42"/>
    <tableColumn id="2" xr3:uid="{B47D423A-E915-4B8C-A691-7383CD63CE5A}" name="星級"/>
    <tableColumn id="3" xr3:uid="{6F71389E-96C0-43BA-8880-90E467B51821}" name="銀級"/>
    <tableColumn id="4" xr3:uid="{BB36567E-D1F2-4196-AC9B-0F656B65F0A3}" name="黃金"/>
    <tableColumn id="5" xr3:uid="{46651FD0-639C-4CCF-8F0E-1A9A8CB2E5D5}" name="白金"/>
    <tableColumn id="6" xr3:uid="{D71A93E5-12CB-47D9-88D1-332CBEC44660}" name="鑽石"/>
    <tableColumn id="7" xr3:uid="{22DB4080-121D-4DC1-ACDE-CABBCFDEDE6E}" name="尊爵"/>
  </tableColumns>
  <tableStyleInfo name="TableStyleMedium2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5E6247-8E7F-4612-9514-BA24E125B3E9}" name="近三年銷售" displayName="近三年銷售" ref="A3:G33" totalsRowShown="0" headerRowDxfId="60" dataDxfId="58" headerRowBorderDxfId="59" tableBorderDxfId="57" totalsRowBorderDxfId="56">
  <autoFilter ref="A3:G33" xr:uid="{07D8B85F-FB57-4DB3-A3FE-6F31772C4C6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680303A0-76EC-43A7-933C-0267E1C8A15F}" name="車款" dataDxfId="55"/>
    <tableColumn id="8" xr3:uid="{F54E3175-5C97-459A-A365-2C93DF26D2C3}" name="自行車年份" dataDxfId="54"/>
    <tableColumn id="7" xr3:uid="{0FB2CF8B-5706-46DA-BA43-35F42917954E}" name="售價" dataDxfId="53"/>
    <tableColumn id="3" xr3:uid="{C4ECD9A1-035D-43C6-9F66-A062FD867B54}" name="2018年銷售量" dataDxfId="52"/>
    <tableColumn id="4" xr3:uid="{A39C76AB-AC40-47F6-8E60-B76B8518E54B}" name="2019年銷售量" dataDxfId="51"/>
    <tableColumn id="5" xr3:uid="{E8BFA8DD-BA04-4B62-9EDA-6BAE49F88955}" name="2020年銷售量" dataDxfId="50"/>
    <tableColumn id="6" xr3:uid="{44C11E78-920F-44FD-9B62-68DC1026924C}" name="合計" dataDxfId="49">
      <calculatedColumnFormula>SUM(C4:F4)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1D8611-57C1-4F17-B839-E8308AEC3088}" name="每年銷售量" displayName="每年銷售量" ref="K3:N13" totalsRowShown="0" headerRowDxfId="48" dataDxfId="47">
  <autoFilter ref="K3:N13" xr:uid="{E41E2235-59D9-4128-95A5-E427CAB6BCAE}"/>
  <tableColumns count="4">
    <tableColumn id="1" xr3:uid="{2B400805-37B1-4C5F-A330-8604D3003C7D}" name="車款" dataDxfId="46"/>
    <tableColumn id="2" xr3:uid="{1E8D63E1-F99D-4BEE-B9F0-7695094F0D63}" name="2018年" dataDxfId="45"/>
    <tableColumn id="3" xr3:uid="{81CFB8EC-B9A5-4030-BF91-F952191716B6}" name="2019年" dataDxfId="44"/>
    <tableColumn id="4" xr3:uid="{3309CD5F-AC7A-4EB7-BAAD-E1B0B5EAD793}" name="2020年" dataDxfId="4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B6EB4-1D1D-4BEE-A3F0-184CF866FCFA}">
  <dimension ref="A1:I33"/>
  <sheetViews>
    <sheetView tabSelected="1" zoomScaleNormal="100" workbookViewId="0"/>
  </sheetViews>
  <sheetFormatPr defaultRowHeight="15" x14ac:dyDescent="0.25"/>
  <cols>
    <col min="1" max="1" width="13" style="8" customWidth="1"/>
    <col min="2" max="2" width="30.7109375" style="8" bestFit="1" customWidth="1"/>
    <col min="3" max="3" width="9.140625" style="8"/>
    <col min="4" max="4" width="8.5703125" style="8" bestFit="1" customWidth="1"/>
    <col min="5" max="5" width="8.5703125" style="8" customWidth="1"/>
    <col min="6" max="6" width="13.5703125" style="8" bestFit="1" customWidth="1"/>
    <col min="7" max="8" width="11" style="8" bestFit="1" customWidth="1"/>
    <col min="9" max="9" width="13" style="8" customWidth="1"/>
    <col min="10" max="16384" width="9.140625" style="8"/>
  </cols>
  <sheetData>
    <row r="1" spans="1:9" ht="20.25" x14ac:dyDescent="0.3">
      <c r="A1" s="9" t="s">
        <v>46</v>
      </c>
    </row>
    <row r="2" spans="1:9" x14ac:dyDescent="0.25">
      <c r="A2" s="11" t="s">
        <v>45</v>
      </c>
    </row>
    <row r="3" spans="1:9" x14ac:dyDescent="0.25">
      <c r="A3" s="1" t="s">
        <v>0</v>
      </c>
      <c r="B3" s="1" t="s">
        <v>1</v>
      </c>
      <c r="C3" s="2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</row>
    <row r="4" spans="1:9" x14ac:dyDescent="0.25">
      <c r="A4" s="4" t="s">
        <v>9</v>
      </c>
      <c r="B4" s="4" t="s">
        <v>10</v>
      </c>
      <c r="C4" s="5" t="s">
        <v>31</v>
      </c>
      <c r="D4" s="4">
        <v>19850</v>
      </c>
      <c r="E4" s="4">
        <v>740</v>
      </c>
      <c r="F4" s="4">
        <v>146</v>
      </c>
      <c r="G4" s="4">
        <v>851</v>
      </c>
      <c r="H4" s="4">
        <v>4162</v>
      </c>
      <c r="I4" s="5" t="str">
        <f>IF(OR(E4&gt;F4*2,E4&gt;AVERAGE($H$4:$H$33)),"是","否")</f>
        <v>是</v>
      </c>
    </row>
    <row r="5" spans="1:9" x14ac:dyDescent="0.25">
      <c r="A5" s="6" t="s">
        <v>9</v>
      </c>
      <c r="B5" s="6" t="s">
        <v>10</v>
      </c>
      <c r="C5" s="7" t="s">
        <v>30</v>
      </c>
      <c r="D5" s="6">
        <v>19850</v>
      </c>
      <c r="E5" s="6">
        <v>703</v>
      </c>
      <c r="F5" s="6">
        <v>251</v>
      </c>
      <c r="G5" s="6">
        <v>194</v>
      </c>
      <c r="H5" s="6">
        <v>8896</v>
      </c>
      <c r="I5" s="7" t="str">
        <f t="shared" ref="I5:I33" si="0">IF(OR(E5&gt;F5*2,E5&gt;AVERAGE($H$4:$H$33)),"是","否")</f>
        <v>是</v>
      </c>
    </row>
    <row r="6" spans="1:9" x14ac:dyDescent="0.25">
      <c r="A6" s="4" t="s">
        <v>9</v>
      </c>
      <c r="B6" s="4" t="s">
        <v>10</v>
      </c>
      <c r="C6" s="5" t="s">
        <v>29</v>
      </c>
      <c r="D6" s="4">
        <v>21200</v>
      </c>
      <c r="E6" s="4">
        <v>603</v>
      </c>
      <c r="F6" s="4">
        <v>325</v>
      </c>
      <c r="G6" s="4">
        <v>271</v>
      </c>
      <c r="H6" s="4">
        <v>6030</v>
      </c>
      <c r="I6" s="5" t="str">
        <f t="shared" si="0"/>
        <v>否</v>
      </c>
    </row>
    <row r="7" spans="1:9" x14ac:dyDescent="0.25">
      <c r="A7" s="6" t="s">
        <v>11</v>
      </c>
      <c r="B7" s="6" t="s">
        <v>12</v>
      </c>
      <c r="C7" s="7" t="s">
        <v>31</v>
      </c>
      <c r="D7" s="6">
        <v>15800</v>
      </c>
      <c r="E7" s="6">
        <v>627</v>
      </c>
      <c r="F7" s="6">
        <v>292</v>
      </c>
      <c r="G7" s="6">
        <v>629</v>
      </c>
      <c r="H7" s="6">
        <v>7876</v>
      </c>
      <c r="I7" s="7" t="str">
        <f t="shared" si="0"/>
        <v>是</v>
      </c>
    </row>
    <row r="8" spans="1:9" x14ac:dyDescent="0.25">
      <c r="A8" s="4" t="s">
        <v>11</v>
      </c>
      <c r="B8" s="4" t="s">
        <v>12</v>
      </c>
      <c r="C8" s="5" t="s">
        <v>30</v>
      </c>
      <c r="D8" s="4">
        <v>15800</v>
      </c>
      <c r="E8" s="4">
        <v>649</v>
      </c>
      <c r="F8" s="4">
        <v>268</v>
      </c>
      <c r="G8" s="4">
        <v>145</v>
      </c>
      <c r="H8" s="4">
        <v>10284</v>
      </c>
      <c r="I8" s="5" t="str">
        <f t="shared" si="0"/>
        <v>是</v>
      </c>
    </row>
    <row r="9" spans="1:9" x14ac:dyDescent="0.25">
      <c r="A9" s="6" t="s">
        <v>11</v>
      </c>
      <c r="B9" s="6" t="s">
        <v>12</v>
      </c>
      <c r="C9" s="7" t="s">
        <v>29</v>
      </c>
      <c r="D9" s="6">
        <v>16800</v>
      </c>
      <c r="E9" s="6">
        <v>367</v>
      </c>
      <c r="F9" s="6">
        <v>843</v>
      </c>
      <c r="G9" s="6">
        <v>837</v>
      </c>
      <c r="H9" s="6">
        <v>3244</v>
      </c>
      <c r="I9" s="7" t="str">
        <f t="shared" si="0"/>
        <v>否</v>
      </c>
    </row>
    <row r="10" spans="1:9" x14ac:dyDescent="0.25">
      <c r="A10" s="4" t="s">
        <v>13</v>
      </c>
      <c r="B10" s="4" t="s">
        <v>14</v>
      </c>
      <c r="C10" s="5" t="s">
        <v>31</v>
      </c>
      <c r="D10" s="4">
        <v>9980</v>
      </c>
      <c r="E10" s="4">
        <v>848</v>
      </c>
      <c r="F10" s="4">
        <v>305</v>
      </c>
      <c r="G10" s="4">
        <v>136</v>
      </c>
      <c r="H10" s="4">
        <v>6941</v>
      </c>
      <c r="I10" s="5" t="str">
        <f t="shared" si="0"/>
        <v>是</v>
      </c>
    </row>
    <row r="11" spans="1:9" x14ac:dyDescent="0.25">
      <c r="A11" s="6" t="s">
        <v>13</v>
      </c>
      <c r="B11" s="6" t="s">
        <v>14</v>
      </c>
      <c r="C11" s="7" t="s">
        <v>30</v>
      </c>
      <c r="D11" s="6">
        <v>9980</v>
      </c>
      <c r="E11" s="6">
        <v>594</v>
      </c>
      <c r="F11" s="6">
        <v>248</v>
      </c>
      <c r="G11" s="6">
        <v>106</v>
      </c>
      <c r="H11" s="6">
        <v>4363</v>
      </c>
      <c r="I11" s="7" t="str">
        <f t="shared" si="0"/>
        <v>是</v>
      </c>
    </row>
    <row r="12" spans="1:9" x14ac:dyDescent="0.25">
      <c r="A12" s="4" t="s">
        <v>13</v>
      </c>
      <c r="B12" s="4" t="s">
        <v>14</v>
      </c>
      <c r="C12" s="5" t="s">
        <v>29</v>
      </c>
      <c r="D12" s="4">
        <v>10500</v>
      </c>
      <c r="E12" s="4">
        <v>256</v>
      </c>
      <c r="F12" s="4">
        <v>136</v>
      </c>
      <c r="G12" s="4">
        <v>358</v>
      </c>
      <c r="H12" s="4">
        <v>9383</v>
      </c>
      <c r="I12" s="5" t="str">
        <f t="shared" si="0"/>
        <v>否</v>
      </c>
    </row>
    <row r="13" spans="1:9" x14ac:dyDescent="0.25">
      <c r="A13" s="6" t="s">
        <v>15</v>
      </c>
      <c r="B13" s="6" t="s">
        <v>16</v>
      </c>
      <c r="C13" s="7" t="s">
        <v>31</v>
      </c>
      <c r="D13" s="6">
        <v>12800</v>
      </c>
      <c r="E13" s="6">
        <v>250</v>
      </c>
      <c r="F13" s="6">
        <v>131</v>
      </c>
      <c r="G13" s="6">
        <v>237</v>
      </c>
      <c r="H13" s="6">
        <v>4570</v>
      </c>
      <c r="I13" s="7" t="str">
        <f t="shared" si="0"/>
        <v>否</v>
      </c>
    </row>
    <row r="14" spans="1:9" x14ac:dyDescent="0.25">
      <c r="A14" s="4" t="s">
        <v>15</v>
      </c>
      <c r="B14" s="4" t="s">
        <v>16</v>
      </c>
      <c r="C14" s="5" t="s">
        <v>30</v>
      </c>
      <c r="D14" s="4">
        <v>12800</v>
      </c>
      <c r="E14" s="4">
        <v>682</v>
      </c>
      <c r="F14" s="4">
        <v>568</v>
      </c>
      <c r="G14" s="4">
        <v>885</v>
      </c>
      <c r="H14" s="4">
        <v>5363</v>
      </c>
      <c r="I14" s="5" t="str">
        <f t="shared" si="0"/>
        <v>否</v>
      </c>
    </row>
    <row r="15" spans="1:9" x14ac:dyDescent="0.25">
      <c r="A15" s="6" t="s">
        <v>15</v>
      </c>
      <c r="B15" s="6" t="s">
        <v>16</v>
      </c>
      <c r="C15" s="7" t="s">
        <v>29</v>
      </c>
      <c r="D15" s="6">
        <v>13860</v>
      </c>
      <c r="E15" s="6">
        <v>153</v>
      </c>
      <c r="F15" s="6">
        <v>121</v>
      </c>
      <c r="G15" s="6">
        <v>338</v>
      </c>
      <c r="H15" s="6">
        <v>3547</v>
      </c>
      <c r="I15" s="7" t="str">
        <f t="shared" si="0"/>
        <v>否</v>
      </c>
    </row>
    <row r="16" spans="1:9" x14ac:dyDescent="0.25">
      <c r="A16" s="4" t="s">
        <v>17</v>
      </c>
      <c r="B16" s="4" t="s">
        <v>18</v>
      </c>
      <c r="C16" s="5" t="s">
        <v>31</v>
      </c>
      <c r="D16" s="4">
        <v>7850</v>
      </c>
      <c r="E16" s="4">
        <v>491</v>
      </c>
      <c r="F16" s="4">
        <v>339</v>
      </c>
      <c r="G16" s="4">
        <v>146</v>
      </c>
      <c r="H16" s="4">
        <v>7940</v>
      </c>
      <c r="I16" s="5" t="str">
        <f t="shared" si="0"/>
        <v>否</v>
      </c>
    </row>
    <row r="17" spans="1:9" x14ac:dyDescent="0.25">
      <c r="A17" s="6" t="s">
        <v>17</v>
      </c>
      <c r="B17" s="6" t="s">
        <v>18</v>
      </c>
      <c r="C17" s="7" t="s">
        <v>30</v>
      </c>
      <c r="D17" s="6">
        <v>7850</v>
      </c>
      <c r="E17" s="6">
        <v>483</v>
      </c>
      <c r="F17" s="6">
        <v>664</v>
      </c>
      <c r="G17" s="6">
        <v>728</v>
      </c>
      <c r="H17" s="6">
        <v>9866</v>
      </c>
      <c r="I17" s="7" t="str">
        <f t="shared" si="0"/>
        <v>否</v>
      </c>
    </row>
    <row r="18" spans="1:9" x14ac:dyDescent="0.25">
      <c r="A18" s="4" t="s">
        <v>17</v>
      </c>
      <c r="B18" s="4" t="s">
        <v>18</v>
      </c>
      <c r="C18" s="5" t="s">
        <v>29</v>
      </c>
      <c r="D18" s="4">
        <v>8820</v>
      </c>
      <c r="E18" s="4">
        <v>802</v>
      </c>
      <c r="F18" s="4">
        <v>161</v>
      </c>
      <c r="G18" s="4">
        <v>769</v>
      </c>
      <c r="H18" s="4">
        <v>6779</v>
      </c>
      <c r="I18" s="5" t="str">
        <f t="shared" si="0"/>
        <v>是</v>
      </c>
    </row>
    <row r="19" spans="1:9" x14ac:dyDescent="0.25">
      <c r="A19" s="6" t="s">
        <v>19</v>
      </c>
      <c r="B19" s="6" t="s">
        <v>20</v>
      </c>
      <c r="C19" s="7" t="s">
        <v>31</v>
      </c>
      <c r="D19" s="6">
        <v>8200</v>
      </c>
      <c r="E19" s="6">
        <v>708</v>
      </c>
      <c r="F19" s="6">
        <v>645</v>
      </c>
      <c r="G19" s="6">
        <v>324</v>
      </c>
      <c r="H19" s="6">
        <v>4519</v>
      </c>
      <c r="I19" s="7" t="str">
        <f t="shared" si="0"/>
        <v>否</v>
      </c>
    </row>
    <row r="20" spans="1:9" x14ac:dyDescent="0.25">
      <c r="A20" s="4" t="s">
        <v>19</v>
      </c>
      <c r="B20" s="4" t="s">
        <v>20</v>
      </c>
      <c r="C20" s="5" t="s">
        <v>30</v>
      </c>
      <c r="D20" s="4">
        <v>8200</v>
      </c>
      <c r="E20" s="4">
        <v>418</v>
      </c>
      <c r="F20" s="4">
        <v>432</v>
      </c>
      <c r="G20" s="4">
        <v>297</v>
      </c>
      <c r="H20" s="4">
        <v>2392</v>
      </c>
      <c r="I20" s="5" t="str">
        <f t="shared" si="0"/>
        <v>否</v>
      </c>
    </row>
    <row r="21" spans="1:9" x14ac:dyDescent="0.25">
      <c r="A21" s="6" t="s">
        <v>19</v>
      </c>
      <c r="B21" s="6" t="s">
        <v>20</v>
      </c>
      <c r="C21" s="7" t="s">
        <v>29</v>
      </c>
      <c r="D21" s="6">
        <v>8200</v>
      </c>
      <c r="E21" s="6">
        <v>688</v>
      </c>
      <c r="F21" s="6">
        <v>157</v>
      </c>
      <c r="G21" s="6">
        <v>757</v>
      </c>
      <c r="H21" s="6">
        <v>5710</v>
      </c>
      <c r="I21" s="7" t="str">
        <f t="shared" si="0"/>
        <v>是</v>
      </c>
    </row>
    <row r="22" spans="1:9" x14ac:dyDescent="0.25">
      <c r="A22" s="4" t="s">
        <v>21</v>
      </c>
      <c r="B22" s="4" t="s">
        <v>22</v>
      </c>
      <c r="C22" s="5" t="s">
        <v>31</v>
      </c>
      <c r="D22" s="4">
        <v>4270</v>
      </c>
      <c r="E22" s="4">
        <v>857</v>
      </c>
      <c r="F22" s="4">
        <v>633</v>
      </c>
      <c r="G22" s="4">
        <v>447</v>
      </c>
      <c r="H22" s="4">
        <v>7772</v>
      </c>
      <c r="I22" s="5" t="str">
        <f t="shared" si="0"/>
        <v>否</v>
      </c>
    </row>
    <row r="23" spans="1:9" x14ac:dyDescent="0.25">
      <c r="A23" s="6" t="s">
        <v>21</v>
      </c>
      <c r="B23" s="6" t="s">
        <v>22</v>
      </c>
      <c r="C23" s="7" t="s">
        <v>30</v>
      </c>
      <c r="D23" s="6">
        <v>4270</v>
      </c>
      <c r="E23" s="6">
        <v>187</v>
      </c>
      <c r="F23" s="6">
        <v>511</v>
      </c>
      <c r="G23" s="6">
        <v>136</v>
      </c>
      <c r="H23" s="6">
        <v>12584</v>
      </c>
      <c r="I23" s="7" t="str">
        <f t="shared" si="0"/>
        <v>否</v>
      </c>
    </row>
    <row r="24" spans="1:9" x14ac:dyDescent="0.25">
      <c r="A24" s="4" t="s">
        <v>21</v>
      </c>
      <c r="B24" s="4" t="s">
        <v>22</v>
      </c>
      <c r="C24" s="5" t="s">
        <v>29</v>
      </c>
      <c r="D24" s="4">
        <v>4270</v>
      </c>
      <c r="E24" s="4">
        <v>221</v>
      </c>
      <c r="F24" s="4">
        <v>393</v>
      </c>
      <c r="G24" s="4">
        <v>363</v>
      </c>
      <c r="H24" s="4">
        <v>8265</v>
      </c>
      <c r="I24" s="5" t="str">
        <f t="shared" si="0"/>
        <v>否</v>
      </c>
    </row>
    <row r="25" spans="1:9" x14ac:dyDescent="0.25">
      <c r="A25" s="6" t="s">
        <v>23</v>
      </c>
      <c r="B25" s="6" t="s">
        <v>24</v>
      </c>
      <c r="C25" s="7" t="s">
        <v>31</v>
      </c>
      <c r="D25" s="6">
        <v>5250</v>
      </c>
      <c r="E25" s="6">
        <v>234</v>
      </c>
      <c r="F25" s="6">
        <v>300</v>
      </c>
      <c r="G25" s="6">
        <v>115</v>
      </c>
      <c r="H25" s="6">
        <v>7752</v>
      </c>
      <c r="I25" s="7" t="str">
        <f t="shared" si="0"/>
        <v>否</v>
      </c>
    </row>
    <row r="26" spans="1:9" x14ac:dyDescent="0.25">
      <c r="A26" s="4" t="s">
        <v>23</v>
      </c>
      <c r="B26" s="4" t="s">
        <v>24</v>
      </c>
      <c r="C26" s="5" t="s">
        <v>30</v>
      </c>
      <c r="D26" s="4">
        <v>5250</v>
      </c>
      <c r="E26" s="4">
        <v>130</v>
      </c>
      <c r="F26" s="4">
        <v>646</v>
      </c>
      <c r="G26" s="4">
        <v>862</v>
      </c>
      <c r="H26" s="4">
        <v>6984</v>
      </c>
      <c r="I26" s="5" t="str">
        <f t="shared" si="0"/>
        <v>否</v>
      </c>
    </row>
    <row r="27" spans="1:9" x14ac:dyDescent="0.25">
      <c r="A27" s="6" t="s">
        <v>23</v>
      </c>
      <c r="B27" s="6" t="s">
        <v>24</v>
      </c>
      <c r="C27" s="7" t="s">
        <v>29</v>
      </c>
      <c r="D27" s="6">
        <v>5860</v>
      </c>
      <c r="E27" s="6">
        <v>135</v>
      </c>
      <c r="F27" s="6">
        <v>495</v>
      </c>
      <c r="G27" s="6">
        <v>661</v>
      </c>
      <c r="H27" s="6">
        <v>6653</v>
      </c>
      <c r="I27" s="7" t="str">
        <f t="shared" si="0"/>
        <v>否</v>
      </c>
    </row>
    <row r="28" spans="1:9" x14ac:dyDescent="0.25">
      <c r="A28" s="4" t="s">
        <v>25</v>
      </c>
      <c r="B28" s="4" t="s">
        <v>26</v>
      </c>
      <c r="C28" s="5" t="s">
        <v>31</v>
      </c>
      <c r="D28" s="4">
        <v>6280</v>
      </c>
      <c r="E28" s="4">
        <v>873</v>
      </c>
      <c r="F28" s="4">
        <v>346</v>
      </c>
      <c r="G28" s="4">
        <v>368</v>
      </c>
      <c r="H28" s="4">
        <v>4876</v>
      </c>
      <c r="I28" s="5" t="str">
        <f t="shared" si="0"/>
        <v>是</v>
      </c>
    </row>
    <row r="29" spans="1:9" x14ac:dyDescent="0.25">
      <c r="A29" s="6" t="s">
        <v>25</v>
      </c>
      <c r="B29" s="6" t="s">
        <v>26</v>
      </c>
      <c r="C29" s="7" t="s">
        <v>30</v>
      </c>
      <c r="D29" s="6">
        <v>6280</v>
      </c>
      <c r="E29" s="6">
        <v>587</v>
      </c>
      <c r="F29" s="6">
        <v>335</v>
      </c>
      <c r="G29" s="6">
        <v>478</v>
      </c>
      <c r="H29" s="6">
        <v>4996</v>
      </c>
      <c r="I29" s="7" t="str">
        <f t="shared" si="0"/>
        <v>否</v>
      </c>
    </row>
    <row r="30" spans="1:9" x14ac:dyDescent="0.25">
      <c r="A30" s="4" t="s">
        <v>25</v>
      </c>
      <c r="B30" s="4" t="s">
        <v>26</v>
      </c>
      <c r="C30" s="5" t="s">
        <v>29</v>
      </c>
      <c r="D30" s="4">
        <v>6680</v>
      </c>
      <c r="E30" s="4">
        <v>654</v>
      </c>
      <c r="F30" s="4">
        <v>646</v>
      </c>
      <c r="G30" s="4">
        <v>228</v>
      </c>
      <c r="H30" s="4">
        <v>2750</v>
      </c>
      <c r="I30" s="5" t="str">
        <f t="shared" si="0"/>
        <v>否</v>
      </c>
    </row>
    <row r="31" spans="1:9" x14ac:dyDescent="0.25">
      <c r="A31" s="6" t="s">
        <v>27</v>
      </c>
      <c r="B31" s="6" t="s">
        <v>28</v>
      </c>
      <c r="C31" s="7" t="s">
        <v>31</v>
      </c>
      <c r="D31" s="6">
        <v>82500</v>
      </c>
      <c r="E31" s="6">
        <v>104</v>
      </c>
      <c r="F31" s="6">
        <v>127</v>
      </c>
      <c r="G31" s="6">
        <v>107</v>
      </c>
      <c r="H31" s="6">
        <v>1265</v>
      </c>
      <c r="I31" s="7" t="str">
        <f t="shared" si="0"/>
        <v>否</v>
      </c>
    </row>
    <row r="32" spans="1:9" x14ac:dyDescent="0.25">
      <c r="A32" s="4" t="s">
        <v>27</v>
      </c>
      <c r="B32" s="4" t="s">
        <v>28</v>
      </c>
      <c r="C32" s="5" t="s">
        <v>30</v>
      </c>
      <c r="D32" s="4">
        <v>82500</v>
      </c>
      <c r="E32" s="4">
        <v>125</v>
      </c>
      <c r="F32" s="4">
        <v>21</v>
      </c>
      <c r="G32" s="4">
        <v>198</v>
      </c>
      <c r="H32" s="4">
        <v>1217</v>
      </c>
      <c r="I32" s="5" t="str">
        <f t="shared" si="0"/>
        <v>是</v>
      </c>
    </row>
    <row r="33" spans="1:9" x14ac:dyDescent="0.25">
      <c r="A33" s="6" t="s">
        <v>27</v>
      </c>
      <c r="B33" s="6" t="s">
        <v>28</v>
      </c>
      <c r="C33" s="7" t="s">
        <v>29</v>
      </c>
      <c r="D33" s="6">
        <v>88650</v>
      </c>
      <c r="E33" s="6">
        <v>118</v>
      </c>
      <c r="F33" s="6">
        <v>93</v>
      </c>
      <c r="G33" s="6">
        <v>125</v>
      </c>
      <c r="H33" s="6">
        <v>916</v>
      </c>
      <c r="I33" s="7" t="str">
        <f t="shared" si="0"/>
        <v>否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C71D7-5FB6-4F25-A867-81DDC847151E}">
  <dimension ref="A1:F13"/>
  <sheetViews>
    <sheetView workbookViewId="0">
      <selection activeCell="A3" sqref="A3"/>
    </sheetView>
  </sheetViews>
  <sheetFormatPr defaultRowHeight="15" x14ac:dyDescent="0.25"/>
  <cols>
    <col min="1" max="1" width="13" style="8" bestFit="1" customWidth="1"/>
    <col min="2" max="6" width="13.140625" style="8" customWidth="1"/>
    <col min="7" max="16384" width="9.140625" style="8"/>
  </cols>
  <sheetData>
    <row r="1" spans="1:6" ht="20.25" x14ac:dyDescent="0.3">
      <c r="A1" s="9" t="s">
        <v>34</v>
      </c>
    </row>
    <row r="2" spans="1:6" ht="16.5" x14ac:dyDescent="0.3">
      <c r="A2" s="12" t="s">
        <v>35</v>
      </c>
    </row>
    <row r="3" spans="1:6" x14ac:dyDescent="0.25">
      <c r="A3" s="1" t="s">
        <v>0</v>
      </c>
      <c r="B3" s="3" t="s">
        <v>32</v>
      </c>
      <c r="C3" s="3" t="s">
        <v>33</v>
      </c>
      <c r="D3" s="3" t="s">
        <v>36</v>
      </c>
      <c r="E3" s="3" t="s">
        <v>37</v>
      </c>
      <c r="F3" s="3" t="s">
        <v>38</v>
      </c>
    </row>
    <row r="4" spans="1:6" x14ac:dyDescent="0.25">
      <c r="A4" s="4" t="s">
        <v>9</v>
      </c>
      <c r="B4" s="13">
        <v>24000</v>
      </c>
      <c r="C4" s="13">
        <v>28000</v>
      </c>
      <c r="D4" s="13"/>
      <c r="E4" s="13"/>
      <c r="F4" s="13"/>
    </row>
    <row r="5" spans="1:6" x14ac:dyDescent="0.25">
      <c r="A5" s="6" t="s">
        <v>11</v>
      </c>
      <c r="B5" s="14">
        <v>29000</v>
      </c>
      <c r="C5" s="14">
        <v>33000</v>
      </c>
      <c r="D5" s="14"/>
      <c r="E5" s="14"/>
      <c r="F5" s="14"/>
    </row>
    <row r="6" spans="1:6" x14ac:dyDescent="0.25">
      <c r="A6" s="4" t="s">
        <v>13</v>
      </c>
      <c r="B6" s="13">
        <v>21000</v>
      </c>
      <c r="C6" s="13">
        <v>25000</v>
      </c>
      <c r="D6" s="13"/>
      <c r="E6" s="13"/>
      <c r="F6" s="13"/>
    </row>
    <row r="7" spans="1:6" x14ac:dyDescent="0.25">
      <c r="A7" s="6" t="s">
        <v>15</v>
      </c>
      <c r="B7" s="14">
        <v>23000</v>
      </c>
      <c r="C7" s="14">
        <v>27000</v>
      </c>
      <c r="D7" s="14"/>
      <c r="E7" s="14"/>
      <c r="F7" s="14"/>
    </row>
    <row r="8" spans="1:6" x14ac:dyDescent="0.25">
      <c r="A8" s="4" t="s">
        <v>17</v>
      </c>
      <c r="B8" s="13">
        <v>27000</v>
      </c>
      <c r="C8" s="13">
        <v>31000</v>
      </c>
      <c r="D8" s="13"/>
      <c r="E8" s="13"/>
      <c r="F8" s="13"/>
    </row>
    <row r="9" spans="1:6" x14ac:dyDescent="0.25">
      <c r="A9" s="6" t="s">
        <v>19</v>
      </c>
      <c r="B9" s="14">
        <v>13000</v>
      </c>
      <c r="C9" s="14">
        <v>17000</v>
      </c>
      <c r="D9" s="14"/>
      <c r="E9" s="14"/>
      <c r="F9" s="14"/>
    </row>
    <row r="10" spans="1:6" x14ac:dyDescent="0.25">
      <c r="A10" s="4" t="s">
        <v>21</v>
      </c>
      <c r="B10" s="13">
        <v>23000</v>
      </c>
      <c r="C10" s="13">
        <v>27000</v>
      </c>
      <c r="D10" s="13"/>
      <c r="E10" s="13"/>
      <c r="F10" s="13"/>
    </row>
    <row r="11" spans="1:6" x14ac:dyDescent="0.25">
      <c r="A11" s="6" t="s">
        <v>23</v>
      </c>
      <c r="B11" s="14">
        <v>21000</v>
      </c>
      <c r="C11" s="14">
        <v>25000</v>
      </c>
      <c r="D11" s="14"/>
      <c r="E11" s="14"/>
      <c r="F11" s="14"/>
    </row>
    <row r="12" spans="1:6" x14ac:dyDescent="0.25">
      <c r="A12" s="4" t="s">
        <v>25</v>
      </c>
      <c r="B12" s="13">
        <v>18000</v>
      </c>
      <c r="C12" s="13">
        <v>22000</v>
      </c>
      <c r="D12" s="13"/>
      <c r="E12" s="13"/>
      <c r="F12" s="13"/>
    </row>
    <row r="13" spans="1:6" x14ac:dyDescent="0.25">
      <c r="A13" s="6" t="s">
        <v>27</v>
      </c>
      <c r="B13" s="14">
        <v>14000</v>
      </c>
      <c r="C13" s="14">
        <v>18000</v>
      </c>
      <c r="D13" s="14"/>
      <c r="E13" s="14"/>
      <c r="F13" s="14"/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C37F8-6172-41D1-ABEE-98F4C321AE0A}">
  <dimension ref="A1:R111"/>
  <sheetViews>
    <sheetView workbookViewId="0">
      <selection activeCell="A3" sqref="A3"/>
    </sheetView>
  </sheetViews>
  <sheetFormatPr defaultRowHeight="15" x14ac:dyDescent="0.25"/>
  <cols>
    <col min="1" max="2" width="9.140625" style="26"/>
    <col min="3" max="3" width="14.28515625" style="26" bestFit="1" customWidth="1"/>
    <col min="4" max="4" width="6.28515625" style="26" bestFit="1" customWidth="1"/>
    <col min="5" max="5" width="14.42578125" style="26" bestFit="1" customWidth="1"/>
    <col min="6" max="6" width="10.5703125" style="26" bestFit="1" customWidth="1"/>
    <col min="7" max="7" width="10.5703125" style="26" customWidth="1"/>
    <col min="8" max="8" width="46.28515625" style="26" hidden="1" customWidth="1"/>
    <col min="9" max="9" width="14" style="26" bestFit="1" customWidth="1"/>
    <col min="10" max="11" width="9.140625" style="26"/>
    <col min="12" max="12" width="13" style="26" customWidth="1"/>
    <col min="13" max="13" width="6.28515625" style="26" bestFit="1" customWidth="1"/>
    <col min="14" max="14" width="8.42578125" style="26" bestFit="1" customWidth="1"/>
    <col min="15" max="15" width="7.140625" style="26" bestFit="1" customWidth="1"/>
    <col min="16" max="16" width="8.42578125" style="26" bestFit="1" customWidth="1"/>
    <col min="17" max="17" width="7.140625" style="26" bestFit="1" customWidth="1"/>
    <col min="18" max="18" width="8.42578125" style="26" bestFit="1" customWidth="1"/>
    <col min="19" max="16384" width="9.140625" style="26"/>
  </cols>
  <sheetData>
    <row r="1" spans="1:18" ht="20.25" x14ac:dyDescent="0.3">
      <c r="A1" s="9" t="s">
        <v>329</v>
      </c>
    </row>
    <row r="2" spans="1:18" ht="16.5" x14ac:dyDescent="0.3">
      <c r="A2" s="12"/>
      <c r="L2" s="12" t="s">
        <v>67</v>
      </c>
    </row>
    <row r="3" spans="1:18" x14ac:dyDescent="0.25">
      <c r="A3" s="26" t="s">
        <v>218</v>
      </c>
      <c r="B3" s="26" t="s">
        <v>332</v>
      </c>
      <c r="C3" s="26" t="s">
        <v>330</v>
      </c>
      <c r="D3" s="26" t="s">
        <v>331</v>
      </c>
      <c r="E3" s="29" t="s">
        <v>327</v>
      </c>
      <c r="F3" s="26" t="s">
        <v>68</v>
      </c>
      <c r="G3" s="26" t="s">
        <v>78</v>
      </c>
      <c r="H3" s="26" t="s">
        <v>217</v>
      </c>
      <c r="I3" s="31" t="s">
        <v>328</v>
      </c>
      <c r="L3" s="26" t="s">
        <v>68</v>
      </c>
      <c r="M3" s="29" t="s">
        <v>74</v>
      </c>
      <c r="N3" s="29" t="s">
        <v>70</v>
      </c>
      <c r="O3" s="29" t="s">
        <v>72</v>
      </c>
      <c r="P3" s="29" t="s">
        <v>66</v>
      </c>
      <c r="Q3" s="29" t="s">
        <v>64</v>
      </c>
      <c r="R3" s="29" t="s">
        <v>62</v>
      </c>
    </row>
    <row r="4" spans="1:18" x14ac:dyDescent="0.25">
      <c r="A4" s="26" t="s">
        <v>219</v>
      </c>
      <c r="B4" s="26" t="s">
        <v>333</v>
      </c>
      <c r="C4" s="26" t="s">
        <v>386</v>
      </c>
      <c r="D4" s="26">
        <v>30</v>
      </c>
      <c r="E4" s="32">
        <v>43211</v>
      </c>
      <c r="F4" s="26" t="s">
        <v>69</v>
      </c>
      <c r="H4" s="30" t="s">
        <v>85</v>
      </c>
      <c r="I4" s="30" t="s">
        <v>489</v>
      </c>
      <c r="L4" s="26" t="s">
        <v>75</v>
      </c>
      <c r="M4" s="27">
        <v>0.02</v>
      </c>
      <c r="N4" s="28">
        <v>1.4999999999999999E-2</v>
      </c>
      <c r="O4" s="27">
        <v>0.01</v>
      </c>
      <c r="P4" s="28">
        <v>5.0000000000000001E-3</v>
      </c>
      <c r="Q4" s="27">
        <v>0</v>
      </c>
      <c r="R4" s="27">
        <v>0</v>
      </c>
    </row>
    <row r="5" spans="1:18" x14ac:dyDescent="0.25">
      <c r="A5" s="26" t="s">
        <v>220</v>
      </c>
      <c r="B5" s="26" t="s">
        <v>334</v>
      </c>
      <c r="C5" s="26" t="s">
        <v>387</v>
      </c>
      <c r="D5" s="26">
        <v>41</v>
      </c>
      <c r="E5" s="32">
        <v>41409</v>
      </c>
      <c r="F5" s="26" t="s">
        <v>63</v>
      </c>
      <c r="H5" s="30" t="s">
        <v>86</v>
      </c>
      <c r="I5" s="30" t="s">
        <v>490</v>
      </c>
      <c r="L5" s="26" t="s">
        <v>77</v>
      </c>
      <c r="M5" s="26">
        <v>3</v>
      </c>
      <c r="N5" s="26">
        <v>3</v>
      </c>
      <c r="O5" s="26">
        <v>3</v>
      </c>
      <c r="P5" s="26">
        <v>2</v>
      </c>
      <c r="Q5" s="26">
        <v>2</v>
      </c>
      <c r="R5" s="26">
        <v>1</v>
      </c>
    </row>
    <row r="6" spans="1:18" x14ac:dyDescent="0.25">
      <c r="A6" s="26" t="s">
        <v>221</v>
      </c>
      <c r="B6" s="26" t="s">
        <v>335</v>
      </c>
      <c r="C6" s="26" t="s">
        <v>388</v>
      </c>
      <c r="D6" s="26">
        <v>31</v>
      </c>
      <c r="E6" s="32">
        <v>43305</v>
      </c>
      <c r="F6" s="26" t="s">
        <v>69</v>
      </c>
      <c r="H6" s="30" t="s">
        <v>87</v>
      </c>
      <c r="I6" s="30" t="s">
        <v>491</v>
      </c>
      <c r="L6" s="26" t="s">
        <v>78</v>
      </c>
      <c r="M6" s="29" t="s">
        <v>79</v>
      </c>
      <c r="N6" s="29" t="s">
        <v>80</v>
      </c>
      <c r="O6" s="29" t="s">
        <v>81</v>
      </c>
      <c r="P6" s="29" t="s">
        <v>82</v>
      </c>
      <c r="Q6" s="29" t="s">
        <v>83</v>
      </c>
      <c r="R6" s="29" t="s">
        <v>84</v>
      </c>
    </row>
    <row r="7" spans="1:18" x14ac:dyDescent="0.25">
      <c r="A7" s="26" t="s">
        <v>222</v>
      </c>
      <c r="B7" s="26" t="s">
        <v>336</v>
      </c>
      <c r="C7" s="26" t="s">
        <v>389</v>
      </c>
      <c r="D7" s="26">
        <v>30</v>
      </c>
      <c r="E7" s="32">
        <v>42207</v>
      </c>
      <c r="F7" s="26" t="s">
        <v>69</v>
      </c>
      <c r="H7" s="30" t="s">
        <v>88</v>
      </c>
      <c r="I7" s="30" t="s">
        <v>492</v>
      </c>
      <c r="L7" s="26" t="s">
        <v>76</v>
      </c>
      <c r="M7" s="26">
        <v>500</v>
      </c>
      <c r="N7" s="26">
        <v>700</v>
      </c>
      <c r="O7" s="26">
        <v>1000</v>
      </c>
      <c r="P7" s="26">
        <v>1250</v>
      </c>
      <c r="Q7" s="26">
        <v>1500</v>
      </c>
      <c r="R7" s="26">
        <v>2000</v>
      </c>
    </row>
    <row r="8" spans="1:18" x14ac:dyDescent="0.25">
      <c r="A8" s="26" t="s">
        <v>223</v>
      </c>
      <c r="B8" s="26" t="s">
        <v>337</v>
      </c>
      <c r="C8" s="26" t="s">
        <v>390</v>
      </c>
      <c r="D8" s="26">
        <v>38</v>
      </c>
      <c r="E8" s="32">
        <v>43078</v>
      </c>
      <c r="F8" s="26" t="s">
        <v>71</v>
      </c>
      <c r="H8" s="30" t="s">
        <v>89</v>
      </c>
      <c r="I8" s="30" t="s">
        <v>493</v>
      </c>
    </row>
    <row r="9" spans="1:18" x14ac:dyDescent="0.25">
      <c r="A9" s="26" t="s">
        <v>224</v>
      </c>
      <c r="B9" s="26" t="s">
        <v>338</v>
      </c>
      <c r="C9" s="26" t="s">
        <v>391</v>
      </c>
      <c r="D9" s="26">
        <v>28</v>
      </c>
      <c r="E9" s="32">
        <v>44109</v>
      </c>
      <c r="F9" s="26" t="s">
        <v>73</v>
      </c>
      <c r="H9" s="30" t="s">
        <v>90</v>
      </c>
      <c r="I9" s="30" t="s">
        <v>494</v>
      </c>
    </row>
    <row r="10" spans="1:18" x14ac:dyDescent="0.25">
      <c r="A10" s="26" t="s">
        <v>225</v>
      </c>
      <c r="B10" s="26" t="s">
        <v>339</v>
      </c>
      <c r="C10" s="26" t="s">
        <v>392</v>
      </c>
      <c r="D10" s="26">
        <v>43</v>
      </c>
      <c r="E10" s="32">
        <v>41742</v>
      </c>
      <c r="F10" s="26" t="s">
        <v>63</v>
      </c>
      <c r="H10" s="30" t="s">
        <v>91</v>
      </c>
      <c r="I10" s="30" t="s">
        <v>495</v>
      </c>
    </row>
    <row r="11" spans="1:18" x14ac:dyDescent="0.25">
      <c r="A11" s="26" t="s">
        <v>226</v>
      </c>
      <c r="B11" s="26" t="s">
        <v>340</v>
      </c>
      <c r="C11" s="26" t="s">
        <v>393</v>
      </c>
      <c r="D11" s="26">
        <v>28</v>
      </c>
      <c r="E11" s="32">
        <v>43959</v>
      </c>
      <c r="F11" s="26" t="s">
        <v>73</v>
      </c>
      <c r="H11" s="30" t="s">
        <v>92</v>
      </c>
      <c r="I11" s="30" t="s">
        <v>496</v>
      </c>
    </row>
    <row r="12" spans="1:18" x14ac:dyDescent="0.25">
      <c r="A12" s="26" t="s">
        <v>227</v>
      </c>
      <c r="B12" s="26" t="s">
        <v>341</v>
      </c>
      <c r="C12" s="26" t="s">
        <v>394</v>
      </c>
      <c r="D12" s="26">
        <v>23</v>
      </c>
      <c r="E12" s="32">
        <v>43509</v>
      </c>
      <c r="F12" s="26" t="s">
        <v>73</v>
      </c>
      <c r="H12" s="30" t="s">
        <v>93</v>
      </c>
      <c r="I12" s="30" t="s">
        <v>497</v>
      </c>
    </row>
    <row r="13" spans="1:18" x14ac:dyDescent="0.25">
      <c r="A13" s="26" t="s">
        <v>228</v>
      </c>
      <c r="B13" s="26" t="s">
        <v>342</v>
      </c>
      <c r="C13" s="26" t="s">
        <v>395</v>
      </c>
      <c r="D13" s="26">
        <v>23</v>
      </c>
      <c r="E13" s="32">
        <v>44101</v>
      </c>
      <c r="F13" s="26" t="s">
        <v>73</v>
      </c>
      <c r="H13" s="30" t="s">
        <v>94</v>
      </c>
      <c r="I13" s="30" t="s">
        <v>498</v>
      </c>
    </row>
    <row r="14" spans="1:18" x14ac:dyDescent="0.25">
      <c r="A14" s="26" t="s">
        <v>229</v>
      </c>
      <c r="B14" s="26" t="s">
        <v>343</v>
      </c>
      <c r="C14" s="26" t="s">
        <v>396</v>
      </c>
      <c r="D14" s="26">
        <v>43</v>
      </c>
      <c r="E14" s="32">
        <v>41752</v>
      </c>
      <c r="F14" s="26" t="s">
        <v>63</v>
      </c>
      <c r="H14" s="30" t="s">
        <v>95</v>
      </c>
      <c r="I14" s="30" t="s">
        <v>499</v>
      </c>
    </row>
    <row r="15" spans="1:18" x14ac:dyDescent="0.25">
      <c r="A15" s="26" t="s">
        <v>230</v>
      </c>
      <c r="B15" s="26" t="s">
        <v>344</v>
      </c>
      <c r="C15" s="26" t="s">
        <v>397</v>
      </c>
      <c r="D15" s="26">
        <v>22</v>
      </c>
      <c r="E15" s="32">
        <v>44075</v>
      </c>
      <c r="F15" s="26" t="s">
        <v>73</v>
      </c>
      <c r="H15" s="30" t="s">
        <v>96</v>
      </c>
      <c r="I15" s="30" t="s">
        <v>500</v>
      </c>
    </row>
    <row r="16" spans="1:18" x14ac:dyDescent="0.25">
      <c r="A16" s="26" t="s">
        <v>231</v>
      </c>
      <c r="B16" s="26" t="s">
        <v>345</v>
      </c>
      <c r="C16" s="26" t="s">
        <v>398</v>
      </c>
      <c r="D16" s="26">
        <v>44</v>
      </c>
      <c r="E16" s="32">
        <v>40997</v>
      </c>
      <c r="F16" s="26" t="s">
        <v>63</v>
      </c>
      <c r="H16" s="30" t="s">
        <v>97</v>
      </c>
      <c r="I16" s="30" t="s">
        <v>501</v>
      </c>
    </row>
    <row r="17" spans="1:9" x14ac:dyDescent="0.25">
      <c r="A17" s="26" t="s">
        <v>232</v>
      </c>
      <c r="B17" s="26" t="s">
        <v>346</v>
      </c>
      <c r="C17" s="26" t="s">
        <v>399</v>
      </c>
      <c r="D17" s="26">
        <v>40</v>
      </c>
      <c r="E17" s="32">
        <v>74571</v>
      </c>
      <c r="F17" s="26" t="s">
        <v>65</v>
      </c>
      <c r="H17" s="30" t="s">
        <v>98</v>
      </c>
      <c r="I17" s="30" t="s">
        <v>502</v>
      </c>
    </row>
    <row r="18" spans="1:9" x14ac:dyDescent="0.25">
      <c r="A18" s="26" t="s">
        <v>233</v>
      </c>
      <c r="B18" s="26" t="s">
        <v>347</v>
      </c>
      <c r="C18" s="26" t="s">
        <v>400</v>
      </c>
      <c r="D18" s="26">
        <v>37</v>
      </c>
      <c r="E18" s="32">
        <v>42142</v>
      </c>
      <c r="F18" s="26" t="s">
        <v>69</v>
      </c>
      <c r="H18" s="30" t="s">
        <v>99</v>
      </c>
      <c r="I18" s="30" t="s">
        <v>503</v>
      </c>
    </row>
    <row r="19" spans="1:9" x14ac:dyDescent="0.25">
      <c r="A19" s="26" t="s">
        <v>234</v>
      </c>
      <c r="B19" s="26" t="s">
        <v>348</v>
      </c>
      <c r="C19" s="26" t="s">
        <v>401</v>
      </c>
      <c r="D19" s="26">
        <v>22</v>
      </c>
      <c r="E19" s="32">
        <v>44074</v>
      </c>
      <c r="F19" s="26" t="s">
        <v>73</v>
      </c>
      <c r="H19" s="30" t="s">
        <v>100</v>
      </c>
      <c r="I19" s="30" t="s">
        <v>504</v>
      </c>
    </row>
    <row r="20" spans="1:9" x14ac:dyDescent="0.25">
      <c r="A20" s="26" t="s">
        <v>235</v>
      </c>
      <c r="B20" s="26" t="s">
        <v>349</v>
      </c>
      <c r="C20" s="26" t="s">
        <v>402</v>
      </c>
      <c r="D20" s="26">
        <v>25</v>
      </c>
      <c r="E20" s="32">
        <v>43469</v>
      </c>
      <c r="F20" s="26" t="s">
        <v>73</v>
      </c>
      <c r="H20" s="30" t="s">
        <v>101</v>
      </c>
      <c r="I20" s="30" t="s">
        <v>505</v>
      </c>
    </row>
    <row r="21" spans="1:9" x14ac:dyDescent="0.25">
      <c r="A21" s="26" t="s">
        <v>236</v>
      </c>
      <c r="B21" s="26" t="s">
        <v>350</v>
      </c>
      <c r="C21" s="26" t="s">
        <v>403</v>
      </c>
      <c r="D21" s="26">
        <v>35</v>
      </c>
      <c r="E21" s="32">
        <v>42691</v>
      </c>
      <c r="F21" s="26" t="s">
        <v>69</v>
      </c>
      <c r="H21" s="30" t="s">
        <v>102</v>
      </c>
      <c r="I21" s="30" t="s">
        <v>506</v>
      </c>
    </row>
    <row r="22" spans="1:9" x14ac:dyDescent="0.25">
      <c r="A22" s="26" t="s">
        <v>237</v>
      </c>
      <c r="B22" s="26" t="s">
        <v>351</v>
      </c>
      <c r="C22" s="26" t="s">
        <v>404</v>
      </c>
      <c r="D22" s="26">
        <v>34</v>
      </c>
      <c r="E22" s="32">
        <v>43177</v>
      </c>
      <c r="F22" s="26" t="s">
        <v>69</v>
      </c>
      <c r="H22" s="30" t="s">
        <v>103</v>
      </c>
      <c r="I22" s="30" t="s">
        <v>507</v>
      </c>
    </row>
    <row r="23" spans="1:9" x14ac:dyDescent="0.25">
      <c r="A23" s="26" t="s">
        <v>238</v>
      </c>
      <c r="B23" s="26" t="s">
        <v>352</v>
      </c>
      <c r="C23" s="26" t="s">
        <v>405</v>
      </c>
      <c r="D23" s="26">
        <v>28</v>
      </c>
      <c r="E23" s="32">
        <v>43103</v>
      </c>
      <c r="F23" s="26" t="s">
        <v>73</v>
      </c>
      <c r="H23" s="30" t="s">
        <v>104</v>
      </c>
      <c r="I23" s="30" t="s">
        <v>508</v>
      </c>
    </row>
    <row r="24" spans="1:9" x14ac:dyDescent="0.25">
      <c r="A24" s="26" t="s">
        <v>239</v>
      </c>
      <c r="B24" s="26" t="s">
        <v>350</v>
      </c>
      <c r="C24" s="26" t="s">
        <v>406</v>
      </c>
      <c r="D24" s="26">
        <v>36</v>
      </c>
      <c r="E24" s="32">
        <v>42911</v>
      </c>
      <c r="F24" s="26" t="s">
        <v>71</v>
      </c>
      <c r="H24" s="30" t="s">
        <v>105</v>
      </c>
      <c r="I24" s="30" t="s">
        <v>509</v>
      </c>
    </row>
    <row r="25" spans="1:9" x14ac:dyDescent="0.25">
      <c r="A25" s="26" t="s">
        <v>240</v>
      </c>
      <c r="B25" s="26" t="s">
        <v>353</v>
      </c>
      <c r="C25" s="26" t="s">
        <v>407</v>
      </c>
      <c r="D25" s="26">
        <v>44</v>
      </c>
      <c r="E25" s="32">
        <v>42325</v>
      </c>
      <c r="F25" s="26" t="s">
        <v>63</v>
      </c>
      <c r="H25" s="30" t="s">
        <v>106</v>
      </c>
      <c r="I25" s="30" t="s">
        <v>510</v>
      </c>
    </row>
    <row r="26" spans="1:9" x14ac:dyDescent="0.25">
      <c r="A26" s="26" t="s">
        <v>241</v>
      </c>
      <c r="B26" s="26" t="s">
        <v>354</v>
      </c>
      <c r="C26" s="26" t="s">
        <v>408</v>
      </c>
      <c r="D26" s="26">
        <v>36</v>
      </c>
      <c r="E26" s="32">
        <v>42642</v>
      </c>
      <c r="F26" s="26" t="s">
        <v>71</v>
      </c>
      <c r="H26" s="30" t="s">
        <v>107</v>
      </c>
      <c r="I26" s="30" t="s">
        <v>511</v>
      </c>
    </row>
    <row r="27" spans="1:9" x14ac:dyDescent="0.25">
      <c r="A27" s="26" t="s">
        <v>242</v>
      </c>
      <c r="B27" s="26" t="s">
        <v>355</v>
      </c>
      <c r="C27" s="26" t="s">
        <v>409</v>
      </c>
      <c r="D27" s="26">
        <v>44</v>
      </c>
      <c r="E27" s="32">
        <v>41076</v>
      </c>
      <c r="F27" s="26" t="s">
        <v>63</v>
      </c>
      <c r="H27" s="30" t="s">
        <v>108</v>
      </c>
      <c r="I27" s="30" t="s">
        <v>512</v>
      </c>
    </row>
    <row r="28" spans="1:9" x14ac:dyDescent="0.25">
      <c r="A28" s="26" t="s">
        <v>243</v>
      </c>
      <c r="B28" s="26" t="s">
        <v>356</v>
      </c>
      <c r="C28" s="26" t="s">
        <v>410</v>
      </c>
      <c r="D28" s="26">
        <v>39</v>
      </c>
      <c r="E28" s="32">
        <v>42929</v>
      </c>
      <c r="F28" s="26" t="s">
        <v>71</v>
      </c>
      <c r="H28" s="30" t="s">
        <v>109</v>
      </c>
      <c r="I28" s="30" t="s">
        <v>513</v>
      </c>
    </row>
    <row r="29" spans="1:9" x14ac:dyDescent="0.25">
      <c r="A29" s="26" t="s">
        <v>244</v>
      </c>
      <c r="B29" s="26" t="s">
        <v>357</v>
      </c>
      <c r="C29" s="26" t="s">
        <v>411</v>
      </c>
      <c r="D29" s="26">
        <v>25</v>
      </c>
      <c r="E29" s="32">
        <v>43846</v>
      </c>
      <c r="F29" s="26" t="s">
        <v>73</v>
      </c>
      <c r="H29" s="30" t="s">
        <v>110</v>
      </c>
      <c r="I29" s="30" t="s">
        <v>514</v>
      </c>
    </row>
    <row r="30" spans="1:9" x14ac:dyDescent="0.25">
      <c r="A30" s="26" t="s">
        <v>245</v>
      </c>
      <c r="B30" s="26" t="s">
        <v>358</v>
      </c>
      <c r="C30" s="26" t="s">
        <v>412</v>
      </c>
      <c r="D30" s="26">
        <v>40</v>
      </c>
      <c r="E30" s="32">
        <v>42589</v>
      </c>
      <c r="F30" s="26" t="s">
        <v>65</v>
      </c>
      <c r="H30" s="30" t="s">
        <v>111</v>
      </c>
      <c r="I30" s="30" t="s">
        <v>515</v>
      </c>
    </row>
    <row r="31" spans="1:9" x14ac:dyDescent="0.25">
      <c r="A31" s="26" t="s">
        <v>246</v>
      </c>
      <c r="B31" s="26" t="s">
        <v>359</v>
      </c>
      <c r="C31" s="26" t="s">
        <v>413</v>
      </c>
      <c r="D31" s="26">
        <v>28</v>
      </c>
      <c r="E31" s="32">
        <v>43335</v>
      </c>
      <c r="F31" s="26" t="s">
        <v>69</v>
      </c>
      <c r="H31" s="30" t="s">
        <v>112</v>
      </c>
      <c r="I31" s="30" t="s">
        <v>516</v>
      </c>
    </row>
    <row r="32" spans="1:9" x14ac:dyDescent="0.25">
      <c r="A32" s="26" t="s">
        <v>247</v>
      </c>
      <c r="B32" s="26" t="s">
        <v>360</v>
      </c>
      <c r="C32" s="26" t="s">
        <v>414</v>
      </c>
      <c r="D32" s="26">
        <v>45</v>
      </c>
      <c r="E32" s="32">
        <v>40304</v>
      </c>
      <c r="F32" s="26" t="s">
        <v>61</v>
      </c>
      <c r="H32" s="30" t="s">
        <v>113</v>
      </c>
      <c r="I32" s="30" t="s">
        <v>517</v>
      </c>
    </row>
    <row r="33" spans="1:9" x14ac:dyDescent="0.25">
      <c r="A33" s="26" t="s">
        <v>248</v>
      </c>
      <c r="B33" s="26" t="s">
        <v>361</v>
      </c>
      <c r="C33" s="26" t="s">
        <v>415</v>
      </c>
      <c r="D33" s="26">
        <v>36</v>
      </c>
      <c r="E33" s="32">
        <v>43046</v>
      </c>
      <c r="F33" s="26" t="s">
        <v>71</v>
      </c>
      <c r="H33" s="30" t="s">
        <v>114</v>
      </c>
      <c r="I33" s="30" t="s">
        <v>518</v>
      </c>
    </row>
    <row r="34" spans="1:9" x14ac:dyDescent="0.25">
      <c r="A34" s="26" t="s">
        <v>249</v>
      </c>
      <c r="B34" s="26" t="s">
        <v>361</v>
      </c>
      <c r="C34" s="26" t="s">
        <v>416</v>
      </c>
      <c r="D34" s="26">
        <v>35</v>
      </c>
      <c r="E34" s="32">
        <v>43210</v>
      </c>
      <c r="F34" s="26" t="s">
        <v>69</v>
      </c>
      <c r="H34" s="30" t="s">
        <v>115</v>
      </c>
      <c r="I34" s="30" t="s">
        <v>519</v>
      </c>
    </row>
    <row r="35" spans="1:9" x14ac:dyDescent="0.25">
      <c r="A35" s="26" t="s">
        <v>250</v>
      </c>
      <c r="B35" s="26" t="s">
        <v>362</v>
      </c>
      <c r="C35" s="26" t="s">
        <v>417</v>
      </c>
      <c r="D35" s="26">
        <v>40</v>
      </c>
      <c r="E35" s="32">
        <v>41693</v>
      </c>
      <c r="F35" s="26" t="s">
        <v>65</v>
      </c>
      <c r="H35" s="30" t="s">
        <v>116</v>
      </c>
      <c r="I35" s="30" t="s">
        <v>520</v>
      </c>
    </row>
    <row r="36" spans="1:9" x14ac:dyDescent="0.25">
      <c r="A36" s="26" t="s">
        <v>251</v>
      </c>
      <c r="B36" s="26" t="s">
        <v>363</v>
      </c>
      <c r="C36" s="26" t="s">
        <v>418</v>
      </c>
      <c r="D36" s="26">
        <v>30</v>
      </c>
      <c r="E36" s="32">
        <v>42348</v>
      </c>
      <c r="F36" s="26" t="s">
        <v>69</v>
      </c>
      <c r="H36" s="30" t="s">
        <v>117</v>
      </c>
      <c r="I36" s="30" t="s">
        <v>521</v>
      </c>
    </row>
    <row r="37" spans="1:9" x14ac:dyDescent="0.25">
      <c r="A37" s="26" t="s">
        <v>252</v>
      </c>
      <c r="B37" s="26" t="s">
        <v>364</v>
      </c>
      <c r="C37" s="26" t="s">
        <v>419</v>
      </c>
      <c r="D37" s="26">
        <v>34</v>
      </c>
      <c r="E37" s="32">
        <v>42832</v>
      </c>
      <c r="F37" s="26" t="s">
        <v>69</v>
      </c>
      <c r="H37" s="30" t="s">
        <v>118</v>
      </c>
      <c r="I37" s="30" t="s">
        <v>522</v>
      </c>
    </row>
    <row r="38" spans="1:9" x14ac:dyDescent="0.25">
      <c r="A38" s="26" t="s">
        <v>253</v>
      </c>
      <c r="B38" s="26" t="s">
        <v>365</v>
      </c>
      <c r="C38" s="26" t="s">
        <v>416</v>
      </c>
      <c r="D38" s="26">
        <v>29</v>
      </c>
      <c r="E38" s="32">
        <v>43106</v>
      </c>
      <c r="F38" s="26" t="s">
        <v>69</v>
      </c>
      <c r="H38" s="30" t="s">
        <v>119</v>
      </c>
      <c r="I38" s="30" t="s">
        <v>523</v>
      </c>
    </row>
    <row r="39" spans="1:9" x14ac:dyDescent="0.25">
      <c r="A39" s="26" t="s">
        <v>254</v>
      </c>
      <c r="B39" s="26" t="s">
        <v>366</v>
      </c>
      <c r="C39" s="26" t="s">
        <v>420</v>
      </c>
      <c r="D39" s="26">
        <v>41</v>
      </c>
      <c r="E39" s="32">
        <v>42234</v>
      </c>
      <c r="F39" s="26" t="s">
        <v>63</v>
      </c>
      <c r="H39" s="30" t="s">
        <v>120</v>
      </c>
      <c r="I39" s="30" t="s">
        <v>524</v>
      </c>
    </row>
    <row r="40" spans="1:9" x14ac:dyDescent="0.25">
      <c r="A40" s="26" t="s">
        <v>255</v>
      </c>
      <c r="B40" s="26" t="s">
        <v>367</v>
      </c>
      <c r="C40" s="26" t="s">
        <v>421</v>
      </c>
      <c r="D40" s="26">
        <v>39</v>
      </c>
      <c r="E40" s="32">
        <v>42126</v>
      </c>
      <c r="F40" s="26" t="s">
        <v>71</v>
      </c>
      <c r="H40" s="30" t="s">
        <v>121</v>
      </c>
      <c r="I40" s="30" t="s">
        <v>525</v>
      </c>
    </row>
    <row r="41" spans="1:9" x14ac:dyDescent="0.25">
      <c r="A41" s="26" t="s">
        <v>256</v>
      </c>
      <c r="B41" s="26" t="s">
        <v>368</v>
      </c>
      <c r="C41" s="26" t="s">
        <v>422</v>
      </c>
      <c r="D41" s="26">
        <v>34</v>
      </c>
      <c r="E41" s="32">
        <v>43239</v>
      </c>
      <c r="F41" s="26" t="s">
        <v>69</v>
      </c>
      <c r="H41" s="30" t="s">
        <v>122</v>
      </c>
      <c r="I41" s="30" t="s">
        <v>526</v>
      </c>
    </row>
    <row r="42" spans="1:9" x14ac:dyDescent="0.25">
      <c r="A42" s="26" t="s">
        <v>257</v>
      </c>
      <c r="B42" s="26" t="s">
        <v>369</v>
      </c>
      <c r="C42" s="26" t="s">
        <v>423</v>
      </c>
      <c r="D42" s="26">
        <v>43</v>
      </c>
      <c r="E42" s="32">
        <v>41410</v>
      </c>
      <c r="F42" s="26" t="s">
        <v>65</v>
      </c>
      <c r="H42" s="30" t="s">
        <v>123</v>
      </c>
      <c r="I42" s="30" t="s">
        <v>527</v>
      </c>
    </row>
    <row r="43" spans="1:9" x14ac:dyDescent="0.25">
      <c r="A43" s="26" t="s">
        <v>258</v>
      </c>
      <c r="B43" s="26" t="s">
        <v>370</v>
      </c>
      <c r="C43" s="26" t="s">
        <v>424</v>
      </c>
      <c r="D43" s="26">
        <v>25</v>
      </c>
      <c r="E43" s="32">
        <v>44145</v>
      </c>
      <c r="F43" s="26" t="s">
        <v>73</v>
      </c>
      <c r="H43" s="30" t="s">
        <v>124</v>
      </c>
      <c r="I43" s="30" t="s">
        <v>528</v>
      </c>
    </row>
    <row r="44" spans="1:9" x14ac:dyDescent="0.25">
      <c r="A44" s="26" t="s">
        <v>259</v>
      </c>
      <c r="B44" s="26" t="s">
        <v>371</v>
      </c>
      <c r="C44" s="26" t="s">
        <v>425</v>
      </c>
      <c r="D44" s="26">
        <v>33</v>
      </c>
      <c r="E44" s="32">
        <v>43322</v>
      </c>
      <c r="F44" s="26" t="s">
        <v>69</v>
      </c>
      <c r="H44" s="30" t="s">
        <v>125</v>
      </c>
      <c r="I44" s="30" t="s">
        <v>529</v>
      </c>
    </row>
    <row r="45" spans="1:9" x14ac:dyDescent="0.25">
      <c r="A45" s="26" t="s">
        <v>260</v>
      </c>
      <c r="B45" s="26" t="s">
        <v>372</v>
      </c>
      <c r="C45" s="26" t="s">
        <v>426</v>
      </c>
      <c r="D45" s="26">
        <v>40</v>
      </c>
      <c r="E45" s="32">
        <v>42367</v>
      </c>
      <c r="F45" s="26" t="s">
        <v>65</v>
      </c>
      <c r="H45" s="30" t="s">
        <v>126</v>
      </c>
      <c r="I45" s="30" t="s">
        <v>530</v>
      </c>
    </row>
    <row r="46" spans="1:9" x14ac:dyDescent="0.25">
      <c r="A46" s="26" t="s">
        <v>261</v>
      </c>
      <c r="B46" s="26" t="s">
        <v>165</v>
      </c>
      <c r="C46" s="26" t="s">
        <v>427</v>
      </c>
      <c r="D46" s="26">
        <v>29</v>
      </c>
      <c r="E46" s="32">
        <v>43316</v>
      </c>
      <c r="F46" s="26" t="s">
        <v>69</v>
      </c>
      <c r="H46" s="30" t="s">
        <v>127</v>
      </c>
      <c r="I46" s="30" t="s">
        <v>531</v>
      </c>
    </row>
    <row r="47" spans="1:9" x14ac:dyDescent="0.25">
      <c r="A47" s="26" t="s">
        <v>262</v>
      </c>
      <c r="B47" s="26" t="s">
        <v>168</v>
      </c>
      <c r="C47" s="26" t="s">
        <v>428</v>
      </c>
      <c r="D47" s="26">
        <v>38</v>
      </c>
      <c r="E47" s="32">
        <v>42030</v>
      </c>
      <c r="F47" s="26" t="s">
        <v>71</v>
      </c>
      <c r="H47" s="30" t="s">
        <v>90</v>
      </c>
      <c r="I47" s="30" t="s">
        <v>532</v>
      </c>
    </row>
    <row r="48" spans="1:9" x14ac:dyDescent="0.25">
      <c r="A48" s="26" t="s">
        <v>263</v>
      </c>
      <c r="B48" s="26" t="s">
        <v>171</v>
      </c>
      <c r="C48" s="26" t="s">
        <v>429</v>
      </c>
      <c r="D48" s="26">
        <v>35</v>
      </c>
      <c r="E48" s="32">
        <v>42979</v>
      </c>
      <c r="F48" s="26" t="s">
        <v>69</v>
      </c>
      <c r="H48" s="30" t="s">
        <v>128</v>
      </c>
      <c r="I48" s="30" t="s">
        <v>533</v>
      </c>
    </row>
    <row r="49" spans="1:9" x14ac:dyDescent="0.25">
      <c r="A49" s="26" t="s">
        <v>264</v>
      </c>
      <c r="B49" s="26" t="s">
        <v>174</v>
      </c>
      <c r="C49" s="26" t="s">
        <v>430</v>
      </c>
      <c r="D49" s="26">
        <v>39</v>
      </c>
      <c r="E49" s="32">
        <v>42276</v>
      </c>
      <c r="F49" s="26" t="s">
        <v>71</v>
      </c>
      <c r="H49" s="30" t="s">
        <v>109</v>
      </c>
      <c r="I49" s="30" t="s">
        <v>534</v>
      </c>
    </row>
    <row r="50" spans="1:9" x14ac:dyDescent="0.25">
      <c r="A50" s="26" t="s">
        <v>265</v>
      </c>
      <c r="B50" s="26" t="s">
        <v>175</v>
      </c>
      <c r="C50" s="26" t="s">
        <v>431</v>
      </c>
      <c r="D50" s="26">
        <v>26</v>
      </c>
      <c r="E50" s="32">
        <v>43861</v>
      </c>
      <c r="F50" s="26" t="s">
        <v>73</v>
      </c>
      <c r="H50" s="30" t="s">
        <v>129</v>
      </c>
      <c r="I50" s="30" t="s">
        <v>535</v>
      </c>
    </row>
    <row r="51" spans="1:9" x14ac:dyDescent="0.25">
      <c r="A51" s="26" t="s">
        <v>266</v>
      </c>
      <c r="B51" s="26" t="s">
        <v>178</v>
      </c>
      <c r="C51" s="26" t="s">
        <v>432</v>
      </c>
      <c r="D51" s="26">
        <v>29</v>
      </c>
      <c r="E51" s="32">
        <v>43342</v>
      </c>
      <c r="F51" s="26" t="s">
        <v>69</v>
      </c>
      <c r="H51" s="30" t="s">
        <v>130</v>
      </c>
      <c r="I51" s="30" t="s">
        <v>536</v>
      </c>
    </row>
    <row r="52" spans="1:9" x14ac:dyDescent="0.25">
      <c r="A52" s="26" t="s">
        <v>267</v>
      </c>
      <c r="B52" s="26" t="s">
        <v>179</v>
      </c>
      <c r="C52" s="26" t="s">
        <v>433</v>
      </c>
      <c r="D52" s="26">
        <v>39</v>
      </c>
      <c r="E52" s="32">
        <v>43031</v>
      </c>
      <c r="F52" s="26" t="s">
        <v>71</v>
      </c>
      <c r="H52" s="30" t="s">
        <v>131</v>
      </c>
      <c r="I52" s="30" t="s">
        <v>537</v>
      </c>
    </row>
    <row r="53" spans="1:9" x14ac:dyDescent="0.25">
      <c r="A53" s="26" t="s">
        <v>268</v>
      </c>
      <c r="B53" s="26" t="s">
        <v>180</v>
      </c>
      <c r="C53" s="26" t="s">
        <v>434</v>
      </c>
      <c r="D53" s="26">
        <v>42</v>
      </c>
      <c r="E53" s="32">
        <v>41990</v>
      </c>
      <c r="F53" s="26" t="s">
        <v>63</v>
      </c>
      <c r="H53" s="30" t="s">
        <v>132</v>
      </c>
      <c r="I53" s="30" t="s">
        <v>538</v>
      </c>
    </row>
    <row r="54" spans="1:9" x14ac:dyDescent="0.25">
      <c r="A54" s="26" t="s">
        <v>269</v>
      </c>
      <c r="B54" s="26" t="s">
        <v>183</v>
      </c>
      <c r="C54" s="26" t="s">
        <v>435</v>
      </c>
      <c r="D54" s="26">
        <v>27</v>
      </c>
      <c r="E54" s="32">
        <v>43936</v>
      </c>
      <c r="F54" s="26" t="s">
        <v>73</v>
      </c>
      <c r="H54" s="30" t="s">
        <v>133</v>
      </c>
      <c r="I54" s="30" t="s">
        <v>539</v>
      </c>
    </row>
    <row r="55" spans="1:9" x14ac:dyDescent="0.25">
      <c r="A55" s="26" t="s">
        <v>270</v>
      </c>
      <c r="B55" s="26" t="s">
        <v>188</v>
      </c>
      <c r="C55" s="26" t="s">
        <v>436</v>
      </c>
      <c r="D55" s="26">
        <v>41</v>
      </c>
      <c r="E55" s="32">
        <v>41332</v>
      </c>
      <c r="F55" s="26" t="s">
        <v>71</v>
      </c>
      <c r="H55" s="30" t="s">
        <v>90</v>
      </c>
      <c r="I55" s="30" t="s">
        <v>540</v>
      </c>
    </row>
    <row r="56" spans="1:9" x14ac:dyDescent="0.25">
      <c r="A56" s="26" t="s">
        <v>271</v>
      </c>
      <c r="B56" s="26" t="s">
        <v>189</v>
      </c>
      <c r="C56" s="26" t="s">
        <v>437</v>
      </c>
      <c r="D56" s="26">
        <v>40</v>
      </c>
      <c r="E56" s="32">
        <v>42957</v>
      </c>
      <c r="F56" s="26" t="s">
        <v>65</v>
      </c>
      <c r="H56" s="30" t="s">
        <v>134</v>
      </c>
      <c r="I56" s="30" t="s">
        <v>541</v>
      </c>
    </row>
    <row r="57" spans="1:9" x14ac:dyDescent="0.25">
      <c r="A57" s="26" t="s">
        <v>272</v>
      </c>
      <c r="B57" s="26" t="s">
        <v>190</v>
      </c>
      <c r="C57" s="26" t="s">
        <v>438</v>
      </c>
      <c r="D57" s="26">
        <v>37</v>
      </c>
      <c r="E57" s="32">
        <v>42459</v>
      </c>
      <c r="F57" s="26" t="s">
        <v>71</v>
      </c>
      <c r="H57" s="30" t="s">
        <v>135</v>
      </c>
      <c r="I57" s="30" t="s">
        <v>542</v>
      </c>
    </row>
    <row r="58" spans="1:9" x14ac:dyDescent="0.25">
      <c r="A58" s="26" t="s">
        <v>273</v>
      </c>
      <c r="B58" s="26" t="s">
        <v>191</v>
      </c>
      <c r="C58" s="26" t="s">
        <v>388</v>
      </c>
      <c r="D58" s="26">
        <v>23</v>
      </c>
      <c r="E58" s="32">
        <v>43632</v>
      </c>
      <c r="F58" s="26" t="s">
        <v>73</v>
      </c>
      <c r="H58" s="30" t="s">
        <v>117</v>
      </c>
      <c r="I58" s="30" t="s">
        <v>543</v>
      </c>
    </row>
    <row r="59" spans="1:9" x14ac:dyDescent="0.25">
      <c r="A59" s="26" t="s">
        <v>274</v>
      </c>
      <c r="B59" s="26" t="s">
        <v>193</v>
      </c>
      <c r="C59" s="26" t="s">
        <v>439</v>
      </c>
      <c r="D59" s="26">
        <v>31</v>
      </c>
      <c r="E59" s="32">
        <v>43392</v>
      </c>
      <c r="F59" s="26" t="s">
        <v>69</v>
      </c>
      <c r="H59" s="30" t="s">
        <v>136</v>
      </c>
      <c r="I59" s="30" t="s">
        <v>544</v>
      </c>
    </row>
    <row r="60" spans="1:9" x14ac:dyDescent="0.25">
      <c r="A60" s="26" t="s">
        <v>275</v>
      </c>
      <c r="B60" s="26" t="s">
        <v>194</v>
      </c>
      <c r="C60" s="26" t="s">
        <v>440</v>
      </c>
      <c r="D60" s="26">
        <v>23</v>
      </c>
      <c r="E60" s="32">
        <v>44036</v>
      </c>
      <c r="F60" s="26" t="s">
        <v>73</v>
      </c>
      <c r="H60" s="30" t="s">
        <v>137</v>
      </c>
      <c r="I60" s="30" t="s">
        <v>545</v>
      </c>
    </row>
    <row r="61" spans="1:9" x14ac:dyDescent="0.25">
      <c r="A61" s="26" t="s">
        <v>276</v>
      </c>
      <c r="B61" s="26" t="s">
        <v>195</v>
      </c>
      <c r="C61" s="26" t="s">
        <v>441</v>
      </c>
      <c r="D61" s="26">
        <v>39</v>
      </c>
      <c r="E61" s="32">
        <v>42558</v>
      </c>
      <c r="F61" s="26" t="s">
        <v>71</v>
      </c>
      <c r="H61" s="30" t="s">
        <v>138</v>
      </c>
      <c r="I61" s="30" t="s">
        <v>546</v>
      </c>
    </row>
    <row r="62" spans="1:9" x14ac:dyDescent="0.25">
      <c r="A62" s="26" t="s">
        <v>277</v>
      </c>
      <c r="B62" s="26" t="s">
        <v>196</v>
      </c>
      <c r="C62" s="26" t="s">
        <v>442</v>
      </c>
      <c r="D62" s="26">
        <v>44</v>
      </c>
      <c r="E62" s="32">
        <v>41836</v>
      </c>
      <c r="F62" s="26" t="s">
        <v>63</v>
      </c>
      <c r="H62" s="30" t="s">
        <v>102</v>
      </c>
      <c r="I62" s="30" t="s">
        <v>547</v>
      </c>
    </row>
    <row r="63" spans="1:9" x14ac:dyDescent="0.25">
      <c r="A63" s="26" t="s">
        <v>278</v>
      </c>
      <c r="B63" s="26" t="s">
        <v>197</v>
      </c>
      <c r="C63" s="26" t="s">
        <v>443</v>
      </c>
      <c r="D63" s="26">
        <v>28</v>
      </c>
      <c r="E63" s="32">
        <v>43424</v>
      </c>
      <c r="F63" s="26" t="s">
        <v>69</v>
      </c>
      <c r="H63" s="30" t="s">
        <v>139</v>
      </c>
      <c r="I63" s="30" t="s">
        <v>548</v>
      </c>
    </row>
    <row r="64" spans="1:9" x14ac:dyDescent="0.25">
      <c r="A64" s="26" t="s">
        <v>279</v>
      </c>
      <c r="B64" s="26" t="s">
        <v>198</v>
      </c>
      <c r="C64" s="26" t="s">
        <v>444</v>
      </c>
      <c r="D64" s="26">
        <v>24</v>
      </c>
      <c r="E64" s="32">
        <v>43900</v>
      </c>
      <c r="F64" s="26" t="s">
        <v>73</v>
      </c>
      <c r="H64" s="30" t="s">
        <v>140</v>
      </c>
      <c r="I64" s="30" t="s">
        <v>549</v>
      </c>
    </row>
    <row r="65" spans="1:9" x14ac:dyDescent="0.25">
      <c r="A65" s="26" t="s">
        <v>280</v>
      </c>
      <c r="B65" s="26" t="s">
        <v>199</v>
      </c>
      <c r="C65" s="26" t="s">
        <v>445</v>
      </c>
      <c r="D65" s="26">
        <v>39</v>
      </c>
      <c r="E65" s="32">
        <v>42937</v>
      </c>
      <c r="F65" s="26" t="s">
        <v>71</v>
      </c>
      <c r="H65" s="30" t="s">
        <v>141</v>
      </c>
      <c r="I65" s="30" t="s">
        <v>550</v>
      </c>
    </row>
    <row r="66" spans="1:9" x14ac:dyDescent="0.25">
      <c r="A66" s="26" t="s">
        <v>281</v>
      </c>
      <c r="B66" s="26" t="s">
        <v>200</v>
      </c>
      <c r="C66" s="26" t="s">
        <v>446</v>
      </c>
      <c r="D66" s="26">
        <v>30</v>
      </c>
      <c r="E66" s="32">
        <v>43234</v>
      </c>
      <c r="F66" s="26" t="s">
        <v>69</v>
      </c>
      <c r="H66" s="30" t="s">
        <v>142</v>
      </c>
      <c r="I66" s="30" t="s">
        <v>551</v>
      </c>
    </row>
    <row r="67" spans="1:9" x14ac:dyDescent="0.25">
      <c r="A67" s="26" t="s">
        <v>282</v>
      </c>
      <c r="B67" s="26" t="s">
        <v>201</v>
      </c>
      <c r="C67" s="26" t="s">
        <v>447</v>
      </c>
      <c r="D67" s="26">
        <v>41</v>
      </c>
      <c r="E67" s="32">
        <v>41850</v>
      </c>
      <c r="F67" s="26" t="s">
        <v>63</v>
      </c>
      <c r="H67" s="30" t="s">
        <v>143</v>
      </c>
      <c r="I67" s="30" t="s">
        <v>552</v>
      </c>
    </row>
    <row r="68" spans="1:9" x14ac:dyDescent="0.25">
      <c r="A68" s="26" t="s">
        <v>283</v>
      </c>
      <c r="B68" s="26" t="s">
        <v>202</v>
      </c>
      <c r="C68" s="26" t="s">
        <v>448</v>
      </c>
      <c r="D68" s="26">
        <v>38</v>
      </c>
      <c r="E68" s="32">
        <v>43028</v>
      </c>
      <c r="F68" s="26" t="s">
        <v>71</v>
      </c>
      <c r="H68" s="30" t="s">
        <v>144</v>
      </c>
      <c r="I68" s="30" t="s">
        <v>553</v>
      </c>
    </row>
    <row r="69" spans="1:9" x14ac:dyDescent="0.25">
      <c r="A69" s="26" t="s">
        <v>284</v>
      </c>
      <c r="B69" s="26" t="s">
        <v>203</v>
      </c>
      <c r="C69" s="26" t="s">
        <v>449</v>
      </c>
      <c r="D69" s="26">
        <v>40</v>
      </c>
      <c r="E69" s="32">
        <v>41237</v>
      </c>
      <c r="F69" s="26" t="s">
        <v>63</v>
      </c>
      <c r="H69" s="30" t="s">
        <v>85</v>
      </c>
      <c r="I69" s="30" t="s">
        <v>554</v>
      </c>
    </row>
    <row r="70" spans="1:9" x14ac:dyDescent="0.25">
      <c r="A70" s="26" t="s">
        <v>285</v>
      </c>
      <c r="B70" s="26" t="s">
        <v>204</v>
      </c>
      <c r="C70" s="26" t="s">
        <v>450</v>
      </c>
      <c r="D70" s="26">
        <v>35</v>
      </c>
      <c r="E70" s="32">
        <v>43331</v>
      </c>
      <c r="F70" s="26" t="s">
        <v>69</v>
      </c>
      <c r="H70" s="30" t="s">
        <v>145</v>
      </c>
      <c r="I70" s="30" t="s">
        <v>555</v>
      </c>
    </row>
    <row r="71" spans="1:9" x14ac:dyDescent="0.25">
      <c r="A71" s="26" t="s">
        <v>286</v>
      </c>
      <c r="B71" s="26" t="s">
        <v>205</v>
      </c>
      <c r="C71" s="26" t="s">
        <v>451</v>
      </c>
      <c r="D71" s="26">
        <v>45</v>
      </c>
      <c r="E71" s="32">
        <v>41052</v>
      </c>
      <c r="F71" s="26" t="s">
        <v>61</v>
      </c>
      <c r="H71" s="30" t="s">
        <v>146</v>
      </c>
      <c r="I71" s="30" t="s">
        <v>556</v>
      </c>
    </row>
    <row r="72" spans="1:9" x14ac:dyDescent="0.25">
      <c r="A72" s="26" t="s">
        <v>287</v>
      </c>
      <c r="B72" s="26" t="s">
        <v>206</v>
      </c>
      <c r="C72" s="26" t="s">
        <v>452</v>
      </c>
      <c r="D72" s="26">
        <v>35</v>
      </c>
      <c r="E72" s="32">
        <v>42533</v>
      </c>
      <c r="F72" s="26" t="s">
        <v>69</v>
      </c>
      <c r="H72" s="30" t="s">
        <v>135</v>
      </c>
      <c r="I72" s="30" t="s">
        <v>557</v>
      </c>
    </row>
    <row r="73" spans="1:9" x14ac:dyDescent="0.25">
      <c r="A73" s="26" t="s">
        <v>288</v>
      </c>
      <c r="B73" s="26" t="s">
        <v>207</v>
      </c>
      <c r="C73" s="26" t="s">
        <v>453</v>
      </c>
      <c r="D73" s="26">
        <v>42</v>
      </c>
      <c r="E73" s="32">
        <v>42660</v>
      </c>
      <c r="F73" s="26" t="s">
        <v>65</v>
      </c>
      <c r="H73" s="30" t="s">
        <v>147</v>
      </c>
      <c r="I73" s="30" t="s">
        <v>558</v>
      </c>
    </row>
    <row r="74" spans="1:9" x14ac:dyDescent="0.25">
      <c r="A74" s="26" t="s">
        <v>289</v>
      </c>
      <c r="B74" s="26" t="s">
        <v>208</v>
      </c>
      <c r="C74" s="26" t="s">
        <v>454</v>
      </c>
      <c r="D74" s="26">
        <v>31</v>
      </c>
      <c r="E74" s="32">
        <v>43332</v>
      </c>
      <c r="F74" s="26" t="s">
        <v>69</v>
      </c>
      <c r="H74" s="30" t="s">
        <v>148</v>
      </c>
      <c r="I74" s="30" t="s">
        <v>559</v>
      </c>
    </row>
    <row r="75" spans="1:9" x14ac:dyDescent="0.25">
      <c r="A75" s="26" t="s">
        <v>290</v>
      </c>
      <c r="B75" s="26" t="s">
        <v>209</v>
      </c>
      <c r="C75" s="26" t="s">
        <v>455</v>
      </c>
      <c r="D75" s="26">
        <v>24</v>
      </c>
      <c r="E75" s="32">
        <v>44180</v>
      </c>
      <c r="F75" s="26" t="s">
        <v>73</v>
      </c>
      <c r="H75" s="30" t="s">
        <v>149</v>
      </c>
      <c r="I75" s="30" t="s">
        <v>560</v>
      </c>
    </row>
    <row r="76" spans="1:9" x14ac:dyDescent="0.25">
      <c r="A76" s="26" t="s">
        <v>291</v>
      </c>
      <c r="B76" s="26" t="s">
        <v>210</v>
      </c>
      <c r="C76" s="26" t="s">
        <v>456</v>
      </c>
      <c r="D76" s="26">
        <v>24</v>
      </c>
      <c r="E76" s="32">
        <v>43783</v>
      </c>
      <c r="F76" s="26" t="s">
        <v>73</v>
      </c>
      <c r="H76" s="30" t="s">
        <v>150</v>
      </c>
      <c r="I76" s="30" t="s">
        <v>561</v>
      </c>
    </row>
    <row r="77" spans="1:9" x14ac:dyDescent="0.25">
      <c r="A77" s="26" t="s">
        <v>292</v>
      </c>
      <c r="B77" s="26" t="s">
        <v>211</v>
      </c>
      <c r="C77" s="26" t="s">
        <v>457</v>
      </c>
      <c r="D77" s="26">
        <v>31</v>
      </c>
      <c r="E77" s="32">
        <v>43138</v>
      </c>
      <c r="F77" s="26" t="s">
        <v>69</v>
      </c>
      <c r="H77" s="30" t="s">
        <v>151</v>
      </c>
      <c r="I77" s="30" t="s">
        <v>562</v>
      </c>
    </row>
    <row r="78" spans="1:9" x14ac:dyDescent="0.25">
      <c r="A78" s="26" t="s">
        <v>293</v>
      </c>
      <c r="B78" s="26" t="s">
        <v>212</v>
      </c>
      <c r="C78" s="26" t="s">
        <v>458</v>
      </c>
      <c r="D78" s="26">
        <v>36</v>
      </c>
      <c r="E78" s="32">
        <v>42452</v>
      </c>
      <c r="F78" s="26" t="s">
        <v>71</v>
      </c>
      <c r="H78" s="30" t="s">
        <v>152</v>
      </c>
      <c r="I78" s="30" t="s">
        <v>563</v>
      </c>
    </row>
    <row r="79" spans="1:9" x14ac:dyDescent="0.25">
      <c r="A79" s="26" t="s">
        <v>294</v>
      </c>
      <c r="B79" s="26" t="s">
        <v>214</v>
      </c>
      <c r="C79" s="26" t="s">
        <v>459</v>
      </c>
      <c r="D79" s="26">
        <v>35</v>
      </c>
      <c r="E79" s="32">
        <v>43328</v>
      </c>
      <c r="F79" s="26" t="s">
        <v>69</v>
      </c>
      <c r="H79" s="30" t="s">
        <v>111</v>
      </c>
      <c r="I79" s="30" t="s">
        <v>564</v>
      </c>
    </row>
    <row r="80" spans="1:9" x14ac:dyDescent="0.25">
      <c r="A80" s="26" t="s">
        <v>295</v>
      </c>
      <c r="B80" s="26" t="s">
        <v>215</v>
      </c>
      <c r="C80" s="26" t="s">
        <v>460</v>
      </c>
      <c r="D80" s="26">
        <v>25</v>
      </c>
      <c r="E80" s="32">
        <v>43862</v>
      </c>
      <c r="F80" s="26" t="s">
        <v>73</v>
      </c>
      <c r="H80" s="30" t="s">
        <v>153</v>
      </c>
      <c r="I80" s="30" t="s">
        <v>565</v>
      </c>
    </row>
    <row r="81" spans="1:9" x14ac:dyDescent="0.25">
      <c r="A81" s="26" t="s">
        <v>296</v>
      </c>
      <c r="B81" s="26" t="s">
        <v>216</v>
      </c>
      <c r="C81" s="26" t="s">
        <v>461</v>
      </c>
      <c r="D81" s="26">
        <v>35</v>
      </c>
      <c r="E81" s="32">
        <v>43169</v>
      </c>
      <c r="F81" s="26" t="s">
        <v>69</v>
      </c>
      <c r="H81" s="30" t="s">
        <v>154</v>
      </c>
      <c r="I81" s="30" t="s">
        <v>566</v>
      </c>
    </row>
    <row r="82" spans="1:9" x14ac:dyDescent="0.25">
      <c r="A82" s="26" t="s">
        <v>297</v>
      </c>
      <c r="B82" s="26" t="s">
        <v>373</v>
      </c>
      <c r="C82" s="26" t="s">
        <v>462</v>
      </c>
      <c r="D82" s="26">
        <v>38</v>
      </c>
      <c r="E82" s="32">
        <v>42431</v>
      </c>
      <c r="F82" s="26" t="s">
        <v>71</v>
      </c>
      <c r="H82" s="30" t="s">
        <v>155</v>
      </c>
      <c r="I82" s="30" t="s">
        <v>567</v>
      </c>
    </row>
    <row r="83" spans="1:9" x14ac:dyDescent="0.25">
      <c r="A83" s="26" t="s">
        <v>298</v>
      </c>
      <c r="B83" s="26" t="s">
        <v>213</v>
      </c>
      <c r="C83" s="26" t="s">
        <v>463</v>
      </c>
      <c r="D83" s="26">
        <v>25</v>
      </c>
      <c r="E83" s="32">
        <v>43824</v>
      </c>
      <c r="F83" s="26" t="s">
        <v>73</v>
      </c>
      <c r="H83" s="30" t="s">
        <v>156</v>
      </c>
      <c r="I83" s="30" t="s">
        <v>568</v>
      </c>
    </row>
    <row r="84" spans="1:9" x14ac:dyDescent="0.25">
      <c r="A84" s="26" t="s">
        <v>299</v>
      </c>
      <c r="B84" s="26" t="s">
        <v>374</v>
      </c>
      <c r="C84" s="26" t="s">
        <v>464</v>
      </c>
      <c r="D84" s="26">
        <v>30</v>
      </c>
      <c r="E84" s="32">
        <v>43223</v>
      </c>
      <c r="F84" s="26" t="s">
        <v>69</v>
      </c>
      <c r="H84" s="30" t="s">
        <v>157</v>
      </c>
      <c r="I84" s="30" t="s">
        <v>569</v>
      </c>
    </row>
    <row r="85" spans="1:9" x14ac:dyDescent="0.25">
      <c r="A85" s="26" t="s">
        <v>300</v>
      </c>
      <c r="B85" s="26" t="s">
        <v>375</v>
      </c>
      <c r="C85" s="26" t="s">
        <v>465</v>
      </c>
      <c r="D85" s="26">
        <v>24</v>
      </c>
      <c r="E85" s="32">
        <v>44171</v>
      </c>
      <c r="F85" s="26" t="s">
        <v>73</v>
      </c>
      <c r="H85" s="30" t="s">
        <v>113</v>
      </c>
      <c r="I85" s="30" t="s">
        <v>570</v>
      </c>
    </row>
    <row r="86" spans="1:9" x14ac:dyDescent="0.25">
      <c r="A86" s="26" t="s">
        <v>301</v>
      </c>
      <c r="B86" s="26" t="s">
        <v>376</v>
      </c>
      <c r="C86" s="26" t="s">
        <v>466</v>
      </c>
      <c r="D86" s="26">
        <v>34</v>
      </c>
      <c r="E86" s="32">
        <v>43135</v>
      </c>
      <c r="F86" s="26" t="s">
        <v>69</v>
      </c>
      <c r="H86" s="30" t="s">
        <v>158</v>
      </c>
      <c r="I86" s="30" t="s">
        <v>571</v>
      </c>
    </row>
    <row r="87" spans="1:9" x14ac:dyDescent="0.25">
      <c r="A87" s="26" t="s">
        <v>302</v>
      </c>
      <c r="B87" s="26" t="s">
        <v>377</v>
      </c>
      <c r="C87" s="26" t="s">
        <v>467</v>
      </c>
      <c r="D87" s="26">
        <v>36</v>
      </c>
      <c r="E87" s="32">
        <v>42890</v>
      </c>
      <c r="F87" s="26" t="s">
        <v>71</v>
      </c>
      <c r="H87" s="30" t="s">
        <v>159</v>
      </c>
      <c r="I87" s="30" t="s">
        <v>572</v>
      </c>
    </row>
    <row r="88" spans="1:9" x14ac:dyDescent="0.25">
      <c r="A88" s="26" t="s">
        <v>303</v>
      </c>
      <c r="B88" s="26" t="s">
        <v>378</v>
      </c>
      <c r="C88" s="26" t="s">
        <v>468</v>
      </c>
      <c r="D88" s="26">
        <v>34</v>
      </c>
      <c r="E88" s="32">
        <v>43144</v>
      </c>
      <c r="F88" s="26" t="s">
        <v>69</v>
      </c>
      <c r="H88" s="30" t="s">
        <v>160</v>
      </c>
      <c r="I88" s="30" t="s">
        <v>573</v>
      </c>
    </row>
    <row r="89" spans="1:9" x14ac:dyDescent="0.25">
      <c r="A89" s="26" t="s">
        <v>304</v>
      </c>
      <c r="B89" s="26" t="s">
        <v>379</v>
      </c>
      <c r="C89" s="26" t="s">
        <v>469</v>
      </c>
      <c r="D89" s="26">
        <v>44</v>
      </c>
      <c r="E89" s="32">
        <v>41394</v>
      </c>
      <c r="F89" s="26" t="s">
        <v>63</v>
      </c>
      <c r="H89" s="30" t="s">
        <v>161</v>
      </c>
      <c r="I89" s="30" t="s">
        <v>574</v>
      </c>
    </row>
    <row r="90" spans="1:9" x14ac:dyDescent="0.25">
      <c r="A90" s="26" t="s">
        <v>305</v>
      </c>
      <c r="B90" s="26" t="s">
        <v>380</v>
      </c>
      <c r="C90" s="26" t="s">
        <v>470</v>
      </c>
      <c r="D90" s="26">
        <v>30</v>
      </c>
      <c r="E90" s="32">
        <v>42409</v>
      </c>
      <c r="F90" s="26" t="s">
        <v>69</v>
      </c>
      <c r="H90" s="30" t="s">
        <v>162</v>
      </c>
      <c r="I90" s="30" t="s">
        <v>575</v>
      </c>
    </row>
    <row r="91" spans="1:9" x14ac:dyDescent="0.25">
      <c r="A91" s="26" t="s">
        <v>306</v>
      </c>
      <c r="B91" s="26" t="s">
        <v>381</v>
      </c>
      <c r="C91" s="26" t="s">
        <v>471</v>
      </c>
      <c r="D91" s="26">
        <v>34</v>
      </c>
      <c r="E91" s="32">
        <v>42850</v>
      </c>
      <c r="F91" s="26" t="s">
        <v>69</v>
      </c>
      <c r="H91" s="30" t="s">
        <v>163</v>
      </c>
      <c r="I91" s="30" t="s">
        <v>576</v>
      </c>
    </row>
    <row r="92" spans="1:9" x14ac:dyDescent="0.25">
      <c r="A92" s="26" t="s">
        <v>307</v>
      </c>
      <c r="B92" s="26" t="s">
        <v>382</v>
      </c>
      <c r="C92" s="26" t="s">
        <v>472</v>
      </c>
      <c r="D92" s="26">
        <v>41</v>
      </c>
      <c r="E92" s="32">
        <v>41467</v>
      </c>
      <c r="F92" s="26" t="s">
        <v>63</v>
      </c>
      <c r="I92" s="26" t="s">
        <v>577</v>
      </c>
    </row>
    <row r="93" spans="1:9" x14ac:dyDescent="0.25">
      <c r="A93" s="26" t="s">
        <v>308</v>
      </c>
      <c r="B93" s="26" t="s">
        <v>383</v>
      </c>
      <c r="C93" s="26" t="s">
        <v>473</v>
      </c>
      <c r="D93" s="26">
        <v>34</v>
      </c>
      <c r="E93" s="32">
        <v>43159</v>
      </c>
      <c r="F93" s="26" t="s">
        <v>69</v>
      </c>
      <c r="I93" s="26" t="s">
        <v>578</v>
      </c>
    </row>
    <row r="94" spans="1:9" x14ac:dyDescent="0.25">
      <c r="A94" s="26" t="s">
        <v>309</v>
      </c>
      <c r="B94" s="26" t="s">
        <v>384</v>
      </c>
      <c r="C94" s="26" t="s">
        <v>474</v>
      </c>
      <c r="D94" s="26">
        <v>44</v>
      </c>
      <c r="E94" s="32">
        <v>41222</v>
      </c>
      <c r="F94" s="26" t="s">
        <v>61</v>
      </c>
      <c r="I94" s="26" t="s">
        <v>579</v>
      </c>
    </row>
    <row r="95" spans="1:9" x14ac:dyDescent="0.25">
      <c r="A95" s="26" t="s">
        <v>310</v>
      </c>
      <c r="B95" s="26" t="s">
        <v>385</v>
      </c>
      <c r="C95" s="26" t="s">
        <v>475</v>
      </c>
      <c r="D95" s="26">
        <v>42</v>
      </c>
      <c r="E95" s="32">
        <v>42261</v>
      </c>
      <c r="F95" s="26" t="s">
        <v>63</v>
      </c>
      <c r="I95" s="26" t="s">
        <v>580</v>
      </c>
    </row>
    <row r="96" spans="1:9" x14ac:dyDescent="0.25">
      <c r="A96" s="26" t="s">
        <v>311</v>
      </c>
      <c r="B96" s="26" t="s">
        <v>164</v>
      </c>
      <c r="C96" s="26" t="s">
        <v>474</v>
      </c>
      <c r="D96" s="26">
        <v>41</v>
      </c>
      <c r="E96" s="32">
        <v>42304</v>
      </c>
      <c r="F96" s="26" t="s">
        <v>63</v>
      </c>
      <c r="I96" s="26" t="s">
        <v>581</v>
      </c>
    </row>
    <row r="97" spans="1:9" x14ac:dyDescent="0.25">
      <c r="A97" s="26" t="s">
        <v>312</v>
      </c>
      <c r="B97" s="26" t="s">
        <v>166</v>
      </c>
      <c r="C97" s="26" t="s">
        <v>476</v>
      </c>
      <c r="D97" s="26">
        <v>42</v>
      </c>
      <c r="E97" s="32">
        <v>41346</v>
      </c>
      <c r="F97" s="26" t="s">
        <v>65</v>
      </c>
      <c r="I97" s="26" t="s">
        <v>582</v>
      </c>
    </row>
    <row r="98" spans="1:9" x14ac:dyDescent="0.25">
      <c r="A98" s="26" t="s">
        <v>313</v>
      </c>
      <c r="B98" s="26" t="s">
        <v>167</v>
      </c>
      <c r="C98" s="26" t="s">
        <v>477</v>
      </c>
      <c r="D98" s="26">
        <v>28</v>
      </c>
      <c r="E98" s="32">
        <v>43330</v>
      </c>
      <c r="F98" s="26" t="s">
        <v>69</v>
      </c>
      <c r="I98" s="26" t="s">
        <v>583</v>
      </c>
    </row>
    <row r="99" spans="1:9" x14ac:dyDescent="0.25">
      <c r="A99" s="26" t="s">
        <v>314</v>
      </c>
      <c r="B99" s="26" t="s">
        <v>169</v>
      </c>
      <c r="C99" s="26" t="s">
        <v>471</v>
      </c>
      <c r="D99" s="26">
        <v>25</v>
      </c>
      <c r="E99" s="32">
        <v>44126</v>
      </c>
      <c r="F99" s="26" t="s">
        <v>73</v>
      </c>
      <c r="I99" s="26" t="s">
        <v>584</v>
      </c>
    </row>
    <row r="100" spans="1:9" x14ac:dyDescent="0.25">
      <c r="A100" s="26" t="s">
        <v>315</v>
      </c>
      <c r="B100" s="26" t="s">
        <v>170</v>
      </c>
      <c r="C100" s="26" t="s">
        <v>478</v>
      </c>
      <c r="D100" s="26">
        <v>33</v>
      </c>
      <c r="E100" s="32">
        <v>42948</v>
      </c>
      <c r="F100" s="26" t="s">
        <v>69</v>
      </c>
      <c r="I100" s="26" t="s">
        <v>585</v>
      </c>
    </row>
    <row r="101" spans="1:9" x14ac:dyDescent="0.25">
      <c r="A101" s="26" t="s">
        <v>316</v>
      </c>
      <c r="B101" s="26" t="s">
        <v>172</v>
      </c>
      <c r="C101" s="26" t="s">
        <v>479</v>
      </c>
      <c r="D101" s="26">
        <v>22</v>
      </c>
      <c r="E101" s="32">
        <v>43585</v>
      </c>
      <c r="F101" s="26" t="s">
        <v>73</v>
      </c>
      <c r="I101" s="26" t="s">
        <v>586</v>
      </c>
    </row>
    <row r="102" spans="1:9" x14ac:dyDescent="0.25">
      <c r="A102" s="26" t="s">
        <v>317</v>
      </c>
      <c r="B102" s="26" t="s">
        <v>173</v>
      </c>
      <c r="C102" s="26" t="s">
        <v>480</v>
      </c>
      <c r="D102" s="26">
        <v>31</v>
      </c>
      <c r="E102" s="32">
        <v>43040</v>
      </c>
      <c r="F102" s="26" t="s">
        <v>69</v>
      </c>
      <c r="I102" s="26" t="s">
        <v>587</v>
      </c>
    </row>
    <row r="103" spans="1:9" x14ac:dyDescent="0.25">
      <c r="A103" s="26" t="s">
        <v>318</v>
      </c>
      <c r="B103" s="26" t="s">
        <v>176</v>
      </c>
      <c r="C103" s="26" t="s">
        <v>481</v>
      </c>
      <c r="D103" s="26">
        <v>27</v>
      </c>
      <c r="E103" s="32">
        <v>43861</v>
      </c>
      <c r="F103" s="26" t="s">
        <v>73</v>
      </c>
      <c r="I103" s="26" t="s">
        <v>588</v>
      </c>
    </row>
    <row r="104" spans="1:9" x14ac:dyDescent="0.25">
      <c r="A104" s="26" t="s">
        <v>319</v>
      </c>
      <c r="B104" s="26" t="s">
        <v>177</v>
      </c>
      <c r="C104" s="26" t="s">
        <v>480</v>
      </c>
      <c r="D104" s="26">
        <v>38</v>
      </c>
      <c r="E104" s="32">
        <v>42967</v>
      </c>
      <c r="F104" s="26" t="s">
        <v>71</v>
      </c>
      <c r="I104" s="26" t="s">
        <v>589</v>
      </c>
    </row>
    <row r="105" spans="1:9" x14ac:dyDescent="0.25">
      <c r="A105" s="26" t="s">
        <v>320</v>
      </c>
      <c r="B105" s="26" t="s">
        <v>181</v>
      </c>
      <c r="C105" s="26" t="s">
        <v>482</v>
      </c>
      <c r="D105" s="26">
        <v>45</v>
      </c>
      <c r="E105" s="32">
        <v>40735</v>
      </c>
      <c r="F105" s="26" t="s">
        <v>61</v>
      </c>
      <c r="I105" s="26" t="s">
        <v>590</v>
      </c>
    </row>
    <row r="106" spans="1:9" x14ac:dyDescent="0.25">
      <c r="A106" s="26" t="s">
        <v>321</v>
      </c>
      <c r="B106" s="26" t="s">
        <v>182</v>
      </c>
      <c r="C106" s="26" t="s">
        <v>483</v>
      </c>
      <c r="D106" s="26">
        <v>27</v>
      </c>
      <c r="E106" s="32">
        <v>43673</v>
      </c>
      <c r="F106" s="26" t="s">
        <v>73</v>
      </c>
      <c r="I106" s="26" t="s">
        <v>591</v>
      </c>
    </row>
    <row r="107" spans="1:9" x14ac:dyDescent="0.25">
      <c r="A107" s="26" t="s">
        <v>322</v>
      </c>
      <c r="B107" s="26" t="s">
        <v>184</v>
      </c>
      <c r="C107" s="26" t="s">
        <v>484</v>
      </c>
      <c r="D107" s="26">
        <v>44</v>
      </c>
      <c r="E107" s="32">
        <v>41146</v>
      </c>
      <c r="F107" s="26" t="s">
        <v>71</v>
      </c>
      <c r="I107" s="26" t="s">
        <v>592</v>
      </c>
    </row>
    <row r="108" spans="1:9" x14ac:dyDescent="0.25">
      <c r="A108" s="26" t="s">
        <v>323</v>
      </c>
      <c r="B108" s="26" t="s">
        <v>185</v>
      </c>
      <c r="C108" s="26" t="s">
        <v>485</v>
      </c>
      <c r="D108" s="26">
        <v>24</v>
      </c>
      <c r="E108" s="32">
        <v>43681</v>
      </c>
      <c r="F108" s="26" t="s">
        <v>73</v>
      </c>
      <c r="I108" s="26" t="s">
        <v>593</v>
      </c>
    </row>
    <row r="109" spans="1:9" x14ac:dyDescent="0.25">
      <c r="A109" s="26" t="s">
        <v>324</v>
      </c>
      <c r="B109" s="26" t="s">
        <v>186</v>
      </c>
      <c r="C109" s="26" t="s">
        <v>486</v>
      </c>
      <c r="D109" s="26">
        <v>44</v>
      </c>
      <c r="E109" s="32">
        <v>41365</v>
      </c>
      <c r="F109" s="26" t="s">
        <v>61</v>
      </c>
      <c r="I109" s="26" t="s">
        <v>491</v>
      </c>
    </row>
    <row r="110" spans="1:9" x14ac:dyDescent="0.25">
      <c r="A110" s="26" t="s">
        <v>325</v>
      </c>
      <c r="B110" s="26" t="s">
        <v>187</v>
      </c>
      <c r="C110" s="26" t="s">
        <v>487</v>
      </c>
      <c r="D110" s="26">
        <v>39</v>
      </c>
      <c r="E110" s="32">
        <v>42086</v>
      </c>
      <c r="F110" s="26" t="s">
        <v>71</v>
      </c>
      <c r="I110" s="26" t="s">
        <v>594</v>
      </c>
    </row>
    <row r="111" spans="1:9" x14ac:dyDescent="0.25">
      <c r="A111" s="26" t="s">
        <v>326</v>
      </c>
      <c r="B111" s="26" t="s">
        <v>192</v>
      </c>
      <c r="C111" s="26" t="s">
        <v>488</v>
      </c>
      <c r="D111" s="26">
        <v>37</v>
      </c>
      <c r="E111" s="32">
        <v>42148</v>
      </c>
      <c r="F111" s="26" t="s">
        <v>71</v>
      </c>
      <c r="I111" s="26" t="s">
        <v>595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FC6F5-5FDB-4DEE-8E96-2980F206FC2C}">
  <dimension ref="A1:B25"/>
  <sheetViews>
    <sheetView workbookViewId="0">
      <selection activeCell="F7" sqref="F7"/>
    </sheetView>
  </sheetViews>
  <sheetFormatPr defaultRowHeight="15" x14ac:dyDescent="0.25"/>
  <cols>
    <col min="1" max="1" width="22" style="8" customWidth="1"/>
    <col min="2" max="2" width="17.140625" style="8" customWidth="1"/>
    <col min="3" max="16384" width="9.140625" style="8"/>
  </cols>
  <sheetData>
    <row r="1" spans="1:2" ht="20.25" x14ac:dyDescent="0.3">
      <c r="A1" s="9" t="s">
        <v>52</v>
      </c>
    </row>
    <row r="2" spans="1:2" x14ac:dyDescent="0.25">
      <c r="A2" s="11" t="s">
        <v>53</v>
      </c>
    </row>
    <row r="3" spans="1:2" ht="7.5" customHeight="1" x14ac:dyDescent="0.25"/>
    <row r="4" spans="1:2" x14ac:dyDescent="0.25">
      <c r="A4" s="34" t="s">
        <v>54</v>
      </c>
      <c r="B4" s="26" t="s">
        <v>59</v>
      </c>
    </row>
    <row r="6" spans="1:2" x14ac:dyDescent="0.25">
      <c r="A6" s="37" t="s">
        <v>49</v>
      </c>
      <c r="B6" s="29" t="s">
        <v>60</v>
      </c>
    </row>
    <row r="7" spans="1:2" x14ac:dyDescent="0.25">
      <c r="A7" s="35">
        <v>38430</v>
      </c>
      <c r="B7" s="36">
        <v>197212</v>
      </c>
    </row>
    <row r="8" spans="1:2" x14ac:dyDescent="0.25">
      <c r="A8" s="35">
        <v>47250</v>
      </c>
      <c r="B8" s="36">
        <v>142139</v>
      </c>
    </row>
    <row r="9" spans="1:2" x14ac:dyDescent="0.25">
      <c r="A9" s="35">
        <v>52740</v>
      </c>
      <c r="B9" s="36">
        <v>73829</v>
      </c>
    </row>
    <row r="10" spans="1:2" x14ac:dyDescent="0.25">
      <c r="A10" s="35">
        <v>56520</v>
      </c>
      <c r="B10" s="36">
        <v>142663</v>
      </c>
    </row>
    <row r="11" spans="1:2" x14ac:dyDescent="0.25">
      <c r="A11" s="35">
        <v>60120</v>
      </c>
      <c r="B11" s="36">
        <v>68534</v>
      </c>
    </row>
    <row r="12" spans="1:2" x14ac:dyDescent="0.25">
      <c r="A12" s="35">
        <v>70650</v>
      </c>
      <c r="B12" s="36">
        <v>191188</v>
      </c>
    </row>
    <row r="13" spans="1:2" x14ac:dyDescent="0.25">
      <c r="A13" s="35">
        <v>73800</v>
      </c>
      <c r="B13" s="36">
        <v>258347</v>
      </c>
    </row>
    <row r="14" spans="1:2" x14ac:dyDescent="0.25">
      <c r="A14" s="35">
        <v>79380</v>
      </c>
      <c r="B14" s="36">
        <v>102729</v>
      </c>
    </row>
    <row r="15" spans="1:2" x14ac:dyDescent="0.25">
      <c r="A15" s="35">
        <v>89820</v>
      </c>
      <c r="B15" s="36">
        <v>214061</v>
      </c>
    </row>
    <row r="16" spans="1:2" x14ac:dyDescent="0.25">
      <c r="A16" s="35">
        <v>94500</v>
      </c>
      <c r="B16" s="36">
        <v>125755</v>
      </c>
    </row>
    <row r="17" spans="1:2" x14ac:dyDescent="0.25">
      <c r="A17" s="35">
        <v>115200</v>
      </c>
      <c r="B17" s="36">
        <v>259458</v>
      </c>
    </row>
    <row r="18" spans="1:2" x14ac:dyDescent="0.25">
      <c r="A18" s="35">
        <v>124740</v>
      </c>
      <c r="B18" s="36">
        <v>133816</v>
      </c>
    </row>
    <row r="19" spans="1:2" x14ac:dyDescent="0.25">
      <c r="A19" s="35">
        <v>142200</v>
      </c>
      <c r="B19" s="36">
        <v>335973</v>
      </c>
    </row>
    <row r="20" spans="1:2" x14ac:dyDescent="0.25">
      <c r="A20" s="35">
        <v>151200</v>
      </c>
      <c r="B20" s="36">
        <v>162480</v>
      </c>
    </row>
    <row r="21" spans="1:2" x14ac:dyDescent="0.25">
      <c r="A21" s="35">
        <v>178650</v>
      </c>
      <c r="B21" s="36">
        <v>396208</v>
      </c>
    </row>
    <row r="22" spans="1:2" x14ac:dyDescent="0.25">
      <c r="A22" s="35">
        <v>190800</v>
      </c>
      <c r="B22" s="36">
        <v>209673</v>
      </c>
    </row>
    <row r="23" spans="1:2" x14ac:dyDescent="0.25">
      <c r="A23" s="35">
        <v>742500</v>
      </c>
      <c r="B23" s="36">
        <v>1492534</v>
      </c>
    </row>
    <row r="24" spans="1:2" x14ac:dyDescent="0.25">
      <c r="A24" s="35">
        <v>797850</v>
      </c>
      <c r="B24" s="36">
        <v>801757</v>
      </c>
    </row>
    <row r="25" spans="1:2" x14ac:dyDescent="0.25">
      <c r="A25" s="35" t="s">
        <v>51</v>
      </c>
      <c r="B25" s="36">
        <v>5308356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EE311-F9C0-4763-A8C2-9CC9A1667B38}">
  <dimension ref="A1:N33"/>
  <sheetViews>
    <sheetView workbookViewId="0">
      <selection activeCell="A4" sqref="A4"/>
    </sheetView>
  </sheetViews>
  <sheetFormatPr defaultRowHeight="15" x14ac:dyDescent="0.25"/>
  <cols>
    <col min="1" max="1" width="14.85546875" style="8" customWidth="1"/>
    <col min="2" max="2" width="12.7109375" style="8" customWidth="1"/>
    <col min="3" max="3" width="12.85546875" style="8" customWidth="1"/>
    <col min="4" max="6" width="17.42578125" style="8" customWidth="1"/>
    <col min="7" max="7" width="12.7109375" style="8" customWidth="1"/>
    <col min="8" max="10" width="9.140625" style="8"/>
    <col min="11" max="11" width="13" style="8" bestFit="1" customWidth="1"/>
    <col min="12" max="14" width="11.5703125" style="8" bestFit="1" customWidth="1"/>
    <col min="15" max="16384" width="9.140625" style="8"/>
  </cols>
  <sheetData>
    <row r="1" spans="1:14" ht="20.25" x14ac:dyDescent="0.3">
      <c r="A1" s="24" t="s">
        <v>48</v>
      </c>
      <c r="B1" s="24"/>
      <c r="C1" s="24"/>
      <c r="D1" s="24"/>
      <c r="E1" s="24"/>
      <c r="F1" s="24"/>
      <c r="G1" s="24"/>
    </row>
    <row r="2" spans="1:14" ht="16.5" x14ac:dyDescent="0.3">
      <c r="A2" s="25" t="s">
        <v>47</v>
      </c>
      <c r="B2" s="25"/>
      <c r="C2" s="25"/>
      <c r="D2" s="25"/>
      <c r="E2" s="25"/>
      <c r="F2" s="25"/>
      <c r="G2" s="25"/>
    </row>
    <row r="3" spans="1:14" x14ac:dyDescent="0.25">
      <c r="A3" s="15" t="s">
        <v>0</v>
      </c>
      <c r="B3" s="21" t="s">
        <v>55</v>
      </c>
      <c r="C3" s="33" t="s">
        <v>50</v>
      </c>
      <c r="D3" s="16" t="s">
        <v>41</v>
      </c>
      <c r="E3" s="16" t="s">
        <v>42</v>
      </c>
      <c r="F3" s="16" t="s">
        <v>43</v>
      </c>
      <c r="G3" s="16" t="s">
        <v>44</v>
      </c>
      <c r="K3" s="8" t="s">
        <v>39</v>
      </c>
      <c r="L3" s="17" t="s">
        <v>31</v>
      </c>
      <c r="M3" s="17" t="s">
        <v>30</v>
      </c>
      <c r="N3" s="17" t="s">
        <v>29</v>
      </c>
    </row>
    <row r="4" spans="1:14" x14ac:dyDescent="0.25">
      <c r="A4" s="19" t="s">
        <v>9</v>
      </c>
      <c r="B4" s="22" t="s">
        <v>56</v>
      </c>
      <c r="C4" s="23">
        <v>178650</v>
      </c>
      <c r="D4" s="18">
        <v>3412</v>
      </c>
      <c r="E4" s="18">
        <v>3870</v>
      </c>
      <c r="F4" s="18">
        <v>4162</v>
      </c>
      <c r="G4" s="18">
        <f t="shared" ref="G4:G33" si="0">SUM(C4:F4)</f>
        <v>190094</v>
      </c>
      <c r="K4" s="10" t="s">
        <v>9</v>
      </c>
      <c r="L4" s="8">
        <v>15428</v>
      </c>
      <c r="M4" s="8">
        <v>23265</v>
      </c>
      <c r="N4" s="8">
        <v>19088</v>
      </c>
    </row>
    <row r="5" spans="1:14" x14ac:dyDescent="0.25">
      <c r="A5" s="19" t="s">
        <v>9</v>
      </c>
      <c r="B5" s="22" t="s">
        <v>57</v>
      </c>
      <c r="C5" s="23">
        <v>178650</v>
      </c>
      <c r="D5" s="18">
        <v>5986</v>
      </c>
      <c r="E5" s="18">
        <v>12582</v>
      </c>
      <c r="F5" s="18">
        <v>8896</v>
      </c>
      <c r="G5" s="18">
        <f t="shared" si="0"/>
        <v>206114</v>
      </c>
      <c r="K5" s="10" t="s">
        <v>11</v>
      </c>
      <c r="L5" s="8">
        <v>19858</v>
      </c>
      <c r="M5" s="8">
        <v>21591</v>
      </c>
      <c r="N5" s="8">
        <v>21404</v>
      </c>
    </row>
    <row r="6" spans="1:14" x14ac:dyDescent="0.25">
      <c r="A6" s="19" t="s">
        <v>9</v>
      </c>
      <c r="B6" s="22" t="s">
        <v>58</v>
      </c>
      <c r="C6" s="23">
        <v>190800</v>
      </c>
      <c r="D6" s="18">
        <v>6030</v>
      </c>
      <c r="E6" s="18">
        <v>6813</v>
      </c>
      <c r="F6" s="18">
        <v>6030</v>
      </c>
      <c r="G6" s="18">
        <f t="shared" si="0"/>
        <v>209673</v>
      </c>
      <c r="K6" s="10" t="s">
        <v>13</v>
      </c>
      <c r="L6" s="8">
        <v>20408</v>
      </c>
      <c r="M6" s="8">
        <v>24581</v>
      </c>
      <c r="N6" s="8">
        <v>20687</v>
      </c>
    </row>
    <row r="7" spans="1:14" x14ac:dyDescent="0.25">
      <c r="A7" s="19" t="s">
        <v>11</v>
      </c>
      <c r="B7" s="22" t="s">
        <v>56</v>
      </c>
      <c r="C7" s="23">
        <v>142200</v>
      </c>
      <c r="D7" s="18">
        <v>6866</v>
      </c>
      <c r="E7" s="18">
        <v>8442</v>
      </c>
      <c r="F7" s="18">
        <v>7876</v>
      </c>
      <c r="G7" s="18">
        <f t="shared" si="0"/>
        <v>165384</v>
      </c>
      <c r="K7" s="10" t="s">
        <v>15</v>
      </c>
      <c r="L7" s="8">
        <v>11156</v>
      </c>
      <c r="M7" s="8">
        <v>13498</v>
      </c>
      <c r="N7" s="8">
        <v>13480</v>
      </c>
    </row>
    <row r="8" spans="1:14" x14ac:dyDescent="0.25">
      <c r="A8" s="19" t="s">
        <v>11</v>
      </c>
      <c r="B8" s="22" t="s">
        <v>57</v>
      </c>
      <c r="C8" s="23">
        <v>142200</v>
      </c>
      <c r="D8" s="18">
        <v>9562</v>
      </c>
      <c r="E8" s="18">
        <v>8543</v>
      </c>
      <c r="F8" s="18">
        <v>10284</v>
      </c>
      <c r="G8" s="18">
        <f t="shared" si="0"/>
        <v>170589</v>
      </c>
      <c r="K8" s="10" t="s">
        <v>17</v>
      </c>
      <c r="L8" s="8">
        <v>24242</v>
      </c>
      <c r="M8" s="8">
        <v>24410</v>
      </c>
      <c r="N8" s="8">
        <v>24585</v>
      </c>
    </row>
    <row r="9" spans="1:14" x14ac:dyDescent="0.25">
      <c r="A9" s="19" t="s">
        <v>11</v>
      </c>
      <c r="B9" s="22" t="s">
        <v>58</v>
      </c>
      <c r="C9" s="23">
        <v>151200</v>
      </c>
      <c r="D9" s="18">
        <v>3430</v>
      </c>
      <c r="E9" s="18">
        <v>4606</v>
      </c>
      <c r="F9" s="18">
        <v>3244</v>
      </c>
      <c r="G9" s="18">
        <f t="shared" si="0"/>
        <v>162480</v>
      </c>
      <c r="K9" s="10" t="s">
        <v>19</v>
      </c>
      <c r="L9" s="8">
        <v>12355</v>
      </c>
      <c r="M9" s="8">
        <v>11971</v>
      </c>
      <c r="N9" s="8">
        <v>12621</v>
      </c>
    </row>
    <row r="10" spans="1:14" x14ac:dyDescent="0.25">
      <c r="A10" s="19" t="s">
        <v>13</v>
      </c>
      <c r="B10" s="22" t="s">
        <v>56</v>
      </c>
      <c r="C10" s="23">
        <v>89820</v>
      </c>
      <c r="D10" s="18">
        <v>7149</v>
      </c>
      <c r="E10" s="18">
        <v>8246</v>
      </c>
      <c r="F10" s="18">
        <v>6941</v>
      </c>
      <c r="G10" s="18">
        <f t="shared" si="0"/>
        <v>112156</v>
      </c>
      <c r="K10" s="10" t="s">
        <v>21</v>
      </c>
      <c r="L10" s="8">
        <v>22983</v>
      </c>
      <c r="M10" s="8">
        <v>33378</v>
      </c>
      <c r="N10" s="8">
        <v>25561</v>
      </c>
    </row>
    <row r="11" spans="1:14" x14ac:dyDescent="0.25">
      <c r="A11" s="19" t="s">
        <v>13</v>
      </c>
      <c r="B11" s="22" t="s">
        <v>57</v>
      </c>
      <c r="C11" s="23">
        <v>89820</v>
      </c>
      <c r="D11" s="18">
        <v>3970</v>
      </c>
      <c r="E11" s="18">
        <v>3752</v>
      </c>
      <c r="F11" s="18">
        <v>4363</v>
      </c>
      <c r="G11" s="18">
        <f t="shared" si="0"/>
        <v>101905</v>
      </c>
      <c r="K11" s="10" t="s">
        <v>23</v>
      </c>
      <c r="L11" s="8">
        <v>22624</v>
      </c>
      <c r="M11" s="8">
        <v>24715</v>
      </c>
      <c r="N11" s="8">
        <v>21389</v>
      </c>
    </row>
    <row r="12" spans="1:14" x14ac:dyDescent="0.25">
      <c r="A12" s="19" t="s">
        <v>13</v>
      </c>
      <c r="B12" s="22" t="s">
        <v>58</v>
      </c>
      <c r="C12" s="23">
        <v>94500</v>
      </c>
      <c r="D12" s="18">
        <v>9289</v>
      </c>
      <c r="E12" s="18">
        <v>12583</v>
      </c>
      <c r="F12" s="18">
        <v>9383</v>
      </c>
      <c r="G12" s="18">
        <f t="shared" si="0"/>
        <v>125755</v>
      </c>
      <c r="K12" s="10" t="s">
        <v>25</v>
      </c>
      <c r="L12" s="8">
        <v>11841</v>
      </c>
      <c r="M12" s="8">
        <v>13574</v>
      </c>
      <c r="N12" s="8">
        <v>12622</v>
      </c>
    </row>
    <row r="13" spans="1:14" x14ac:dyDescent="0.25">
      <c r="A13" s="19" t="s">
        <v>15</v>
      </c>
      <c r="B13" s="22" t="s">
        <v>56</v>
      </c>
      <c r="C13" s="23">
        <v>115200</v>
      </c>
      <c r="D13" s="18">
        <v>3930</v>
      </c>
      <c r="E13" s="18">
        <v>4524</v>
      </c>
      <c r="F13" s="18">
        <v>4570</v>
      </c>
      <c r="G13" s="18">
        <f t="shared" si="0"/>
        <v>128224</v>
      </c>
      <c r="K13" s="10" t="s">
        <v>40</v>
      </c>
      <c r="L13" s="8">
        <v>3985</v>
      </c>
      <c r="M13" s="8">
        <v>4058</v>
      </c>
      <c r="N13" s="8">
        <v>3398</v>
      </c>
    </row>
    <row r="14" spans="1:14" x14ac:dyDescent="0.25">
      <c r="A14" s="19" t="s">
        <v>15</v>
      </c>
      <c r="B14" s="22" t="s">
        <v>57</v>
      </c>
      <c r="C14" s="23">
        <v>115200</v>
      </c>
      <c r="D14" s="18">
        <v>4665</v>
      </c>
      <c r="E14" s="18">
        <v>6006</v>
      </c>
      <c r="F14" s="18">
        <v>5363</v>
      </c>
      <c r="G14" s="18">
        <f t="shared" si="0"/>
        <v>131234</v>
      </c>
    </row>
    <row r="15" spans="1:14" x14ac:dyDescent="0.25">
      <c r="A15" s="19" t="s">
        <v>15</v>
      </c>
      <c r="B15" s="22" t="s">
        <v>58</v>
      </c>
      <c r="C15" s="23">
        <v>124740</v>
      </c>
      <c r="D15" s="18">
        <v>2561</v>
      </c>
      <c r="E15" s="18">
        <v>2968</v>
      </c>
      <c r="F15" s="18">
        <v>3547</v>
      </c>
      <c r="G15" s="18">
        <f t="shared" si="0"/>
        <v>133816</v>
      </c>
    </row>
    <row r="16" spans="1:14" x14ac:dyDescent="0.25">
      <c r="A16" s="19" t="s">
        <v>17</v>
      </c>
      <c r="B16" s="22" t="s">
        <v>56</v>
      </c>
      <c r="C16" s="23">
        <v>70650</v>
      </c>
      <c r="D16" s="18">
        <v>8734</v>
      </c>
      <c r="E16" s="18">
        <v>9384</v>
      </c>
      <c r="F16" s="18">
        <v>7940</v>
      </c>
      <c r="G16" s="18">
        <f t="shared" si="0"/>
        <v>96708</v>
      </c>
    </row>
    <row r="17" spans="1:7" x14ac:dyDescent="0.25">
      <c r="A17" s="19" t="s">
        <v>17</v>
      </c>
      <c r="B17" s="22" t="s">
        <v>57</v>
      </c>
      <c r="C17" s="23">
        <v>70650</v>
      </c>
      <c r="D17" s="18">
        <v>7524</v>
      </c>
      <c r="E17" s="18">
        <v>6440</v>
      </c>
      <c r="F17" s="18">
        <v>9866</v>
      </c>
      <c r="G17" s="18">
        <f t="shared" si="0"/>
        <v>94480</v>
      </c>
    </row>
    <row r="18" spans="1:7" x14ac:dyDescent="0.25">
      <c r="A18" s="19" t="s">
        <v>17</v>
      </c>
      <c r="B18" s="22" t="s">
        <v>58</v>
      </c>
      <c r="C18" s="23">
        <v>79380</v>
      </c>
      <c r="D18" s="18">
        <v>7984</v>
      </c>
      <c r="E18" s="18">
        <v>8586</v>
      </c>
      <c r="F18" s="18">
        <v>6779</v>
      </c>
      <c r="G18" s="18">
        <f t="shared" si="0"/>
        <v>102729</v>
      </c>
    </row>
    <row r="19" spans="1:7" x14ac:dyDescent="0.25">
      <c r="A19" s="19" t="s">
        <v>19</v>
      </c>
      <c r="B19" s="22" t="s">
        <v>56</v>
      </c>
      <c r="C19" s="23">
        <v>73800</v>
      </c>
      <c r="D19" s="18">
        <v>4428</v>
      </c>
      <c r="E19" s="18">
        <v>5016</v>
      </c>
      <c r="F19" s="18">
        <v>4519</v>
      </c>
      <c r="G19" s="18">
        <f t="shared" si="0"/>
        <v>87763</v>
      </c>
    </row>
    <row r="20" spans="1:7" x14ac:dyDescent="0.25">
      <c r="A20" s="19" t="s">
        <v>19</v>
      </c>
      <c r="B20" s="22" t="s">
        <v>57</v>
      </c>
      <c r="C20" s="23">
        <v>73800</v>
      </c>
      <c r="D20" s="18">
        <v>2846</v>
      </c>
      <c r="E20" s="18">
        <v>2559</v>
      </c>
      <c r="F20" s="18">
        <v>2392</v>
      </c>
      <c r="G20" s="18">
        <f t="shared" si="0"/>
        <v>81597</v>
      </c>
    </row>
    <row r="21" spans="1:7" x14ac:dyDescent="0.25">
      <c r="A21" s="19" t="s">
        <v>19</v>
      </c>
      <c r="B21" s="22" t="s">
        <v>58</v>
      </c>
      <c r="C21" s="23">
        <v>73800</v>
      </c>
      <c r="D21" s="18">
        <v>5081</v>
      </c>
      <c r="E21" s="18">
        <v>4396</v>
      </c>
      <c r="F21" s="18">
        <v>5710</v>
      </c>
      <c r="G21" s="18">
        <f t="shared" si="0"/>
        <v>88987</v>
      </c>
    </row>
    <row r="22" spans="1:7" x14ac:dyDescent="0.25">
      <c r="A22" s="19" t="s">
        <v>21</v>
      </c>
      <c r="B22" s="22" t="s">
        <v>56</v>
      </c>
      <c r="C22" s="23">
        <v>38430</v>
      </c>
      <c r="D22" s="18">
        <v>5829</v>
      </c>
      <c r="E22" s="18">
        <v>6528</v>
      </c>
      <c r="F22" s="18">
        <v>7772</v>
      </c>
      <c r="G22" s="18">
        <f t="shared" si="0"/>
        <v>58559</v>
      </c>
    </row>
    <row r="23" spans="1:7" x14ac:dyDescent="0.25">
      <c r="A23" s="19" t="s">
        <v>21</v>
      </c>
      <c r="B23" s="22" t="s">
        <v>57</v>
      </c>
      <c r="C23" s="23">
        <v>38430</v>
      </c>
      <c r="D23" s="18">
        <v>8228</v>
      </c>
      <c r="E23" s="18">
        <v>14238</v>
      </c>
      <c r="F23" s="18">
        <v>9524</v>
      </c>
      <c r="G23" s="18">
        <f t="shared" si="0"/>
        <v>70420</v>
      </c>
    </row>
    <row r="24" spans="1:7" x14ac:dyDescent="0.25">
      <c r="A24" s="19" t="s">
        <v>21</v>
      </c>
      <c r="B24" s="22" t="s">
        <v>58</v>
      </c>
      <c r="C24" s="23">
        <v>38430</v>
      </c>
      <c r="D24" s="18">
        <v>8926</v>
      </c>
      <c r="E24" s="18">
        <v>12612</v>
      </c>
      <c r="F24" s="18">
        <v>8265</v>
      </c>
      <c r="G24" s="18">
        <f t="shared" si="0"/>
        <v>68233</v>
      </c>
    </row>
    <row r="25" spans="1:7" x14ac:dyDescent="0.25">
      <c r="A25" s="19" t="s">
        <v>23</v>
      </c>
      <c r="B25" s="22" t="s">
        <v>56</v>
      </c>
      <c r="C25" s="23">
        <v>47250</v>
      </c>
      <c r="D25" s="18">
        <v>7984</v>
      </c>
      <c r="E25" s="18">
        <v>9695</v>
      </c>
      <c r="F25" s="18">
        <v>7752</v>
      </c>
      <c r="G25" s="18">
        <f t="shared" si="0"/>
        <v>72681</v>
      </c>
    </row>
    <row r="26" spans="1:7" x14ac:dyDescent="0.25">
      <c r="A26" s="19" t="s">
        <v>23</v>
      </c>
      <c r="B26" s="22" t="s">
        <v>57</v>
      </c>
      <c r="C26" s="23">
        <v>47250</v>
      </c>
      <c r="D26" s="18">
        <v>7123</v>
      </c>
      <c r="E26" s="18">
        <v>8101</v>
      </c>
      <c r="F26" s="18">
        <v>6984</v>
      </c>
      <c r="G26" s="18">
        <f t="shared" si="0"/>
        <v>69458</v>
      </c>
    </row>
    <row r="27" spans="1:7" x14ac:dyDescent="0.25">
      <c r="A27" s="19" t="s">
        <v>23</v>
      </c>
      <c r="B27" s="22" t="s">
        <v>58</v>
      </c>
      <c r="C27" s="23">
        <v>52740</v>
      </c>
      <c r="D27" s="18">
        <v>7517</v>
      </c>
      <c r="E27" s="18">
        <v>6919</v>
      </c>
      <c r="F27" s="18">
        <v>6653</v>
      </c>
      <c r="G27" s="18">
        <f t="shared" si="0"/>
        <v>73829</v>
      </c>
    </row>
    <row r="28" spans="1:7" x14ac:dyDescent="0.25">
      <c r="A28" s="19" t="s">
        <v>25</v>
      </c>
      <c r="B28" s="22" t="s">
        <v>56</v>
      </c>
      <c r="C28" s="23">
        <v>56520</v>
      </c>
      <c r="D28" s="18">
        <v>3949</v>
      </c>
      <c r="E28" s="18">
        <v>5461</v>
      </c>
      <c r="F28" s="18">
        <v>4876</v>
      </c>
      <c r="G28" s="18">
        <f t="shared" si="0"/>
        <v>70806</v>
      </c>
    </row>
    <row r="29" spans="1:7" x14ac:dyDescent="0.25">
      <c r="A29" s="19" t="s">
        <v>25</v>
      </c>
      <c r="B29" s="22" t="s">
        <v>57</v>
      </c>
      <c r="C29" s="23">
        <v>56520</v>
      </c>
      <c r="D29" s="18">
        <v>5445</v>
      </c>
      <c r="E29" s="18">
        <v>4896</v>
      </c>
      <c r="F29" s="18">
        <v>4996</v>
      </c>
      <c r="G29" s="18">
        <f t="shared" si="0"/>
        <v>71857</v>
      </c>
    </row>
    <row r="30" spans="1:7" x14ac:dyDescent="0.25">
      <c r="A30" s="19" t="s">
        <v>25</v>
      </c>
      <c r="B30" s="22" t="s">
        <v>58</v>
      </c>
      <c r="C30" s="23">
        <v>60120</v>
      </c>
      <c r="D30" s="18">
        <v>2447</v>
      </c>
      <c r="E30" s="18">
        <v>3217</v>
      </c>
      <c r="F30" s="18">
        <v>2750</v>
      </c>
      <c r="G30" s="18">
        <f t="shared" si="0"/>
        <v>68534</v>
      </c>
    </row>
    <row r="31" spans="1:7" x14ac:dyDescent="0.25">
      <c r="A31" s="19" t="s">
        <v>40</v>
      </c>
      <c r="B31" s="22" t="s">
        <v>56</v>
      </c>
      <c r="C31" s="23">
        <v>742500</v>
      </c>
      <c r="D31" s="18">
        <v>1315</v>
      </c>
      <c r="E31" s="18">
        <v>1024</v>
      </c>
      <c r="F31" s="18">
        <v>1265</v>
      </c>
      <c r="G31" s="18">
        <f t="shared" si="0"/>
        <v>746104</v>
      </c>
    </row>
    <row r="32" spans="1:7" x14ac:dyDescent="0.25">
      <c r="A32" s="19" t="s">
        <v>40</v>
      </c>
      <c r="B32" s="22" t="s">
        <v>57</v>
      </c>
      <c r="C32" s="23">
        <v>742500</v>
      </c>
      <c r="D32" s="18">
        <v>1241</v>
      </c>
      <c r="E32" s="18">
        <v>1472</v>
      </c>
      <c r="F32" s="18">
        <v>1217</v>
      </c>
      <c r="G32" s="18">
        <f t="shared" si="0"/>
        <v>746430</v>
      </c>
    </row>
    <row r="33" spans="1:7" x14ac:dyDescent="0.25">
      <c r="A33" s="20" t="s">
        <v>40</v>
      </c>
      <c r="B33" s="22" t="s">
        <v>58</v>
      </c>
      <c r="C33" s="23">
        <v>797850</v>
      </c>
      <c r="D33" s="18">
        <v>1429</v>
      </c>
      <c r="E33" s="18">
        <v>1562</v>
      </c>
      <c r="F33" s="18">
        <v>916</v>
      </c>
      <c r="G33" s="18">
        <f t="shared" si="0"/>
        <v>801757</v>
      </c>
    </row>
  </sheetData>
  <mergeCells count="2">
    <mergeCell ref="A1:G1"/>
    <mergeCell ref="A2:G2"/>
  </mergeCells>
  <phoneticPr fontId="5" type="noConversion"/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314528-33FA-45A6-8AE9-94B05070B3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具名範圍</vt:lpstr>
      </vt:variant>
      <vt:variant>
        <vt:i4>2</vt:i4>
      </vt:variant>
    </vt:vector>
  </HeadingPairs>
  <TitlesOfParts>
    <vt:vector size="7" baseType="lpstr">
      <vt:lpstr>自行車款庫存與銷售</vt:lpstr>
      <vt:lpstr>新車銷售預估</vt:lpstr>
      <vt:lpstr>會員資料</vt:lpstr>
      <vt:lpstr>售價區間分析</vt:lpstr>
      <vt:lpstr>近三年銷售摘要</vt:lpstr>
      <vt:lpstr>庫存資料</vt:lpstr>
      <vt:lpstr>會員優惠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王仲麒</dc:creator>
  <cp:lastModifiedBy>王仲麒</cp:lastModifiedBy>
  <dcterms:created xsi:type="dcterms:W3CDTF">2021-03-07T12:33:27Z</dcterms:created>
  <dcterms:modified xsi:type="dcterms:W3CDTF">2021-04-08T08:46:10Z</dcterms:modified>
</cp:coreProperties>
</file>