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vec\Downloads\"/>
    </mc:Choice>
  </mc:AlternateContent>
  <xr:revisionPtr revIDLastSave="0" documentId="13_ncr:1_{5566FF04-D61C-40DD-9282-81ACD4278DB1}" xr6:coauthVersionLast="46" xr6:coauthVersionMax="46" xr10:uidLastSave="{00000000-0000-0000-0000-000000000000}"/>
  <bookViews>
    <workbookView xWindow="0" yWindow="0" windowWidth="20520" windowHeight="13080" tabRatio="821" xr2:uid="{1137D4A8-647E-498A-ADCC-93AE33F0DA7A}"/>
  </bookViews>
  <sheets>
    <sheet name="禮盒銷售表" sheetId="1" r:id="rId1"/>
    <sheet name="銷售員" sheetId="9" r:id="rId2"/>
    <sheet name="銷售日期" sheetId="10" r:id="rId3"/>
    <sheet name="收入" sheetId="11" r:id="rId4"/>
    <sheet name="分析" sheetId="8" r:id="rId5"/>
  </sheets>
  <definedNames>
    <definedName name="平日">禮盒銷售表!$A$2:$F$37</definedName>
    <definedName name="週末">#REF!</definedName>
  </definedNames>
  <calcPr calcId="191029" calcMode="manual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0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</calcChain>
</file>

<file path=xl/sharedStrings.xml><?xml version="1.0" encoding="utf-8"?>
<sst xmlns="http://schemas.openxmlformats.org/spreadsheetml/2006/main" count="153" uniqueCount="81">
  <si>
    <t>總計</t>
  </si>
  <si>
    <t>客戶名稱</t>
    <phoneticPr fontId="4" type="noConversion"/>
  </si>
  <si>
    <t>產品名稱</t>
    <phoneticPr fontId="4" type="noConversion"/>
  </si>
  <si>
    <t>單價</t>
    <phoneticPr fontId="4" type="noConversion"/>
  </si>
  <si>
    <t>數量</t>
    <phoneticPr fontId="4" type="noConversion"/>
  </si>
  <si>
    <t>金額</t>
    <phoneticPr fontId="4" type="noConversion"/>
  </si>
  <si>
    <t>Graeme</t>
  </si>
  <si>
    <t>Guy</t>
  </si>
  <si>
    <t>Humphry</t>
  </si>
  <si>
    <t>Harold</t>
  </si>
  <si>
    <t>Herbert</t>
  </si>
  <si>
    <t>Hubert</t>
  </si>
  <si>
    <t>Hector</t>
  </si>
  <si>
    <t>Sophia</t>
  </si>
  <si>
    <t>Stella</t>
  </si>
  <si>
    <t>Susanna</t>
  </si>
  <si>
    <t>Suzanne</t>
  </si>
  <si>
    <t>Terri</t>
  </si>
  <si>
    <t>Thelma</t>
  </si>
  <si>
    <t>Oscar</t>
  </si>
  <si>
    <t>Oz</t>
  </si>
  <si>
    <t>Osmond</t>
  </si>
  <si>
    <t>Pat</t>
  </si>
  <si>
    <t>Percy</t>
  </si>
  <si>
    <t>Phil</t>
  </si>
  <si>
    <t>Pearce</t>
  </si>
  <si>
    <t>Nan</t>
  </si>
  <si>
    <t>Natalie</t>
  </si>
  <si>
    <t>Nellie</t>
  </si>
  <si>
    <t>Nicole</t>
  </si>
  <si>
    <t>Nita</t>
  </si>
  <si>
    <t>Olive</t>
  </si>
  <si>
    <t>Pamela</t>
  </si>
  <si>
    <t>Pancy</t>
  </si>
  <si>
    <t>Clint</t>
  </si>
  <si>
    <t>Colin</t>
  </si>
  <si>
    <t>Cyril</t>
  </si>
  <si>
    <t>Lois</t>
  </si>
  <si>
    <t>Louisa</t>
  </si>
  <si>
    <t>Lucinda</t>
  </si>
  <si>
    <t>Lynn</t>
  </si>
  <si>
    <t>蘋果禮盒</t>
  </si>
  <si>
    <t>水梨禮盒</t>
  </si>
  <si>
    <t>櫻桃禮盒</t>
  </si>
  <si>
    <t>草莓禮盒</t>
  </si>
  <si>
    <t>鳳梨禮盒</t>
  </si>
  <si>
    <t>列標籤</t>
  </si>
  <si>
    <t>加總 - 金額</t>
  </si>
  <si>
    <t>禮盒銷售表</t>
    <phoneticPr fontId="4" type="noConversion"/>
  </si>
  <si>
    <r>
      <t>Andy</t>
    </r>
    <r>
      <rPr>
        <sz val="18"/>
        <color theme="3"/>
        <rFont val="新細明體"/>
        <family val="2"/>
        <charset val="136"/>
      </rPr>
      <t>水果行</t>
    </r>
    <phoneticPr fontId="20" type="noConversion"/>
  </si>
  <si>
    <t>Sam</t>
  </si>
  <si>
    <t>Sam</t>
    <phoneticPr fontId="4" type="noConversion"/>
  </si>
  <si>
    <t>Dora</t>
  </si>
  <si>
    <t>Dora</t>
    <phoneticPr fontId="4" type="noConversion"/>
  </si>
  <si>
    <t>Angel</t>
  </si>
  <si>
    <t>Angel</t>
    <phoneticPr fontId="4" type="noConversion"/>
  </si>
  <si>
    <t>Will</t>
  </si>
  <si>
    <t>Will</t>
    <phoneticPr fontId="4" type="noConversion"/>
  </si>
  <si>
    <t>工作時間</t>
    <phoneticPr fontId="20" type="noConversion"/>
  </si>
  <si>
    <t>平日</t>
    <phoneticPr fontId="20" type="noConversion"/>
  </si>
  <si>
    <t>每天</t>
    <phoneticPr fontId="20" type="noConversion"/>
  </si>
  <si>
    <t>週末</t>
    <phoneticPr fontId="20" type="noConversion"/>
  </si>
  <si>
    <t>星期</t>
  </si>
  <si>
    <t>時段</t>
  </si>
  <si>
    <r>
      <rPr>
        <sz val="11"/>
        <color theme="1"/>
        <rFont val="Calibri"/>
        <family val="2"/>
      </rPr>
      <t>星期一到星期五</t>
    </r>
  </si>
  <si>
    <r>
      <rPr>
        <sz val="11"/>
        <color theme="1"/>
        <rFont val="Calibri"/>
        <family val="2"/>
      </rPr>
      <t>星期六</t>
    </r>
  </si>
  <si>
    <r>
      <rPr>
        <sz val="11"/>
        <color theme="1"/>
        <rFont val="Calibri"/>
        <family val="2"/>
      </rPr>
      <t>星期日</t>
    </r>
  </si>
  <si>
    <t>平日：</t>
  </si>
  <si>
    <r>
      <t>Andy</t>
    </r>
    <r>
      <rPr>
        <sz val="18"/>
        <color theme="3"/>
        <rFont val="細明體"/>
        <family val="2"/>
        <charset val="136"/>
      </rPr>
      <t>水果行</t>
    </r>
    <phoneticPr fontId="20" type="noConversion"/>
  </si>
  <si>
    <t>銷售時間</t>
    <phoneticPr fontId="20" type="noConversion"/>
  </si>
  <si>
    <r>
      <rPr>
        <sz val="11"/>
        <color theme="1"/>
        <rFont val="新細明體"/>
        <family val="2"/>
        <charset val="136"/>
      </rPr>
      <t>上午</t>
    </r>
    <r>
      <rPr>
        <sz val="11"/>
        <color theme="1"/>
        <rFont val="Calibri"/>
        <family val="2"/>
      </rPr>
      <t>10</t>
    </r>
    <r>
      <rPr>
        <sz val="11"/>
        <color theme="1"/>
        <rFont val="新細明體"/>
        <family val="2"/>
        <charset val="136"/>
      </rPr>
      <t>點到下午</t>
    </r>
    <r>
      <rPr>
        <sz val="11"/>
        <color theme="1"/>
        <rFont val="Calibri"/>
        <family val="2"/>
      </rPr>
      <t>3</t>
    </r>
    <r>
      <rPr>
        <sz val="11"/>
        <color theme="1"/>
        <rFont val="新細明體"/>
        <family val="2"/>
        <charset val="136"/>
      </rPr>
      <t>點</t>
    </r>
    <phoneticPr fontId="20" type="noConversion"/>
  </si>
  <si>
    <r>
      <rPr>
        <sz val="11"/>
        <color theme="1"/>
        <rFont val="新細明體"/>
        <family val="2"/>
        <charset val="136"/>
      </rPr>
      <t>上午</t>
    </r>
    <r>
      <rPr>
        <sz val="11"/>
        <color theme="1"/>
        <rFont val="Calibri"/>
        <family val="2"/>
      </rPr>
      <t>9</t>
    </r>
    <r>
      <rPr>
        <sz val="11"/>
        <color theme="1"/>
        <rFont val="新細明體"/>
        <family val="2"/>
        <charset val="136"/>
      </rPr>
      <t>點到下午</t>
    </r>
    <r>
      <rPr>
        <sz val="11"/>
        <color theme="1"/>
        <rFont val="Calibri"/>
        <family val="2"/>
      </rPr>
      <t>4</t>
    </r>
    <r>
      <rPr>
        <sz val="11"/>
        <color theme="1"/>
        <rFont val="新細明體"/>
        <family val="2"/>
        <charset val="136"/>
      </rPr>
      <t>點</t>
    </r>
    <phoneticPr fontId="20" type="noConversion"/>
  </si>
  <si>
    <r>
      <rPr>
        <sz val="11"/>
        <color theme="1"/>
        <rFont val="細明體"/>
        <family val="2"/>
        <charset val="136"/>
      </rPr>
      <t>上午</t>
    </r>
    <r>
      <rPr>
        <sz val="11"/>
        <color theme="1"/>
        <rFont val="Calibri"/>
        <family val="2"/>
      </rPr>
      <t>11</t>
    </r>
    <r>
      <rPr>
        <sz val="11"/>
        <color theme="1"/>
        <rFont val="細明體"/>
        <family val="2"/>
        <charset val="136"/>
      </rPr>
      <t>點到下午</t>
    </r>
    <r>
      <rPr>
        <sz val="11"/>
        <color theme="1"/>
        <rFont val="Calibri"/>
        <family val="2"/>
      </rPr>
      <t>1</t>
    </r>
    <r>
      <rPr>
        <sz val="11"/>
        <color theme="1"/>
        <rFont val="細明體"/>
        <family val="2"/>
        <charset val="136"/>
      </rPr>
      <t>點</t>
    </r>
    <phoneticPr fontId="20" type="noConversion"/>
  </si>
  <si>
    <t>水果行開始銷售日期：</t>
    <phoneticPr fontId="20" type="noConversion"/>
  </si>
  <si>
    <t>銷售員收入</t>
    <phoneticPr fontId="20" type="noConversion"/>
  </si>
  <si>
    <t>銷售員</t>
    <phoneticPr fontId="20" type="noConversion"/>
  </si>
  <si>
    <t>銷售銷售員</t>
    <phoneticPr fontId="20" type="noConversion"/>
  </si>
  <si>
    <t>銷售員名稱</t>
    <phoneticPr fontId="20" type="noConversion"/>
  </si>
  <si>
    <t>基本薪資</t>
    <phoneticPr fontId="20" type="noConversion"/>
  </si>
  <si>
    <t>加給獎金</t>
    <phoneticPr fontId="20" type="noConversion"/>
  </si>
  <si>
    <t>銷售員名稱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</si>
</sst>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$&quot;* #,##0_-;\-&quot;$&quot;* #,##0_-;_-&quot;$&quot;* &quot;-&quot;??_-;_-@_-"/>
    <numFmt numFmtId="177" formatCode="[$-404]dddd"/>
  </numFmts>
  <fonts count="34" x14ac:knownFonts="1">
    <font>
      <sz val="11"/>
      <color theme="1"/>
      <name val="Calibri"/>
      <family val="2"/>
    </font>
    <font>
      <sz val="18"/>
      <color theme="3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9"/>
      <name val="微軟正黑體"/>
      <family val="3"/>
      <charset val="136"/>
      <scheme val="minor"/>
    </font>
    <font>
      <sz val="12"/>
      <color rgb="FF9C5700"/>
      <name val="Calibri"/>
      <family val="2"/>
    </font>
    <font>
      <b/>
      <sz val="12"/>
      <color theme="1"/>
      <name val="Calibri"/>
      <family val="2"/>
    </font>
    <font>
      <sz val="12"/>
      <color rgb="FF006100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i/>
      <sz val="12"/>
      <color rgb="FF7F7F7F"/>
      <name val="Calibri"/>
      <family val="2"/>
    </font>
    <font>
      <sz val="12"/>
      <color theme="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theme="0"/>
      <name val="Calibri"/>
      <family val="2"/>
    </font>
    <font>
      <sz val="12"/>
      <color rgb="FF9C0006"/>
      <name val="Calibri"/>
      <family val="2"/>
    </font>
    <font>
      <sz val="12"/>
      <color rgb="FFFF0000"/>
      <name val="Calibri"/>
      <family val="2"/>
    </font>
    <font>
      <sz val="9"/>
      <name val="細明體"/>
      <family val="3"/>
      <charset val="136"/>
    </font>
    <font>
      <sz val="18"/>
      <color theme="3"/>
      <name val="新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  <charset val="136"/>
    </font>
    <font>
      <b/>
      <sz val="11"/>
      <color theme="1"/>
      <name val="Calibri"/>
      <family val="2"/>
    </font>
    <font>
      <sz val="16"/>
      <color theme="3"/>
      <name val="Calibri"/>
      <family val="2"/>
    </font>
    <font>
      <sz val="16"/>
      <color theme="3"/>
      <name val="細明體"/>
      <family val="2"/>
      <charset val="136"/>
    </font>
    <font>
      <sz val="10"/>
      <color theme="1"/>
      <name val="Calibri"/>
      <family val="2"/>
    </font>
    <font>
      <sz val="18"/>
      <color theme="3"/>
      <name val="細明體"/>
      <family val="2"/>
      <charset val="136"/>
    </font>
    <font>
      <sz val="11"/>
      <color theme="1"/>
      <name val="新細明體"/>
      <family val="2"/>
      <charset val="136"/>
    </font>
    <font>
      <b/>
      <sz val="11"/>
      <color theme="1"/>
      <name val="微軟正黑體"/>
      <family val="2"/>
      <charset val="136"/>
    </font>
    <font>
      <sz val="11"/>
      <name val="Calibri"/>
      <family val="2"/>
    </font>
    <font>
      <sz val="12"/>
      <name val="細明體"/>
      <family val="2"/>
      <charset val="136"/>
    </font>
    <font>
      <sz val="12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1" applyFont="1" applyAlignment="1">
      <alignment horizontal="centerContinuous"/>
    </xf>
    <xf numFmtId="0" fontId="2" fillId="0" borderId="0" xfId="0" applyFont="1"/>
    <xf numFmtId="44" fontId="0" fillId="0" borderId="0" xfId="4" applyFont="1" applyAlignment="1"/>
    <xf numFmtId="176" fontId="0" fillId="0" borderId="0" xfId="4" applyNumberFormat="1" applyFont="1" applyAlignment="1"/>
    <xf numFmtId="0" fontId="0" fillId="0" borderId="0" xfId="0" applyAlignment="1">
      <alignment horizontal="center"/>
    </xf>
    <xf numFmtId="0" fontId="21" fillId="0" borderId="0" xfId="1" applyFont="1" applyAlignment="1">
      <alignment horizontal="centerContinuous"/>
    </xf>
    <xf numFmtId="0" fontId="22" fillId="2" borderId="1" xfId="24" applyFont="1" applyBorder="1" applyAlignment="1" applyProtection="1">
      <protection locked="0"/>
    </xf>
    <xf numFmtId="0" fontId="22" fillId="2" borderId="1" xfId="24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1" applyAlignment="1">
      <alignment horizontal="centerContinuous"/>
    </xf>
    <xf numFmtId="0" fontId="25" fillId="0" borderId="0" xfId="1" applyFont="1" applyAlignment="1">
      <alignment horizontal="centerContinuous"/>
    </xf>
    <xf numFmtId="0" fontId="26" fillId="0" borderId="0" xfId="1" applyFont="1" applyAlignment="1">
      <alignment horizontal="centerContinuous"/>
    </xf>
    <xf numFmtId="0" fontId="22" fillId="2" borderId="1" xfId="24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" fillId="0" borderId="0" xfId="1" applyAlignment="1" applyProtection="1">
      <alignment horizontal="centerContinuous"/>
      <protection locked="0"/>
    </xf>
    <xf numFmtId="0" fontId="25" fillId="0" borderId="0" xfId="1" applyFont="1" applyAlignment="1" applyProtection="1">
      <alignment horizontal="centerContinuous"/>
      <protection locked="0"/>
    </xf>
    <xf numFmtId="0" fontId="24" fillId="2" borderId="1" xfId="24" applyFon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3" fillId="0" borderId="0" xfId="0" applyFont="1" applyAlignment="1" applyProtection="1">
      <alignment horizontal="right"/>
      <protection locked="0"/>
    </xf>
    <xf numFmtId="0" fontId="27" fillId="0" borderId="0" xfId="0" applyFont="1" applyProtection="1">
      <protection locked="0"/>
    </xf>
    <xf numFmtId="14" fontId="24" fillId="2" borderId="12" xfId="24" applyNumberFormat="1" applyFont="1" applyBorder="1" applyAlignment="1" applyProtection="1">
      <alignment horizontal="center"/>
    </xf>
    <xf numFmtId="0" fontId="24" fillId="2" borderId="13" xfId="24" applyFont="1" applyBorder="1" applyAlignment="1" applyProtection="1">
      <alignment horizontal="center"/>
      <protection locked="0"/>
    </xf>
    <xf numFmtId="177" fontId="24" fillId="2" borderId="14" xfId="24" applyNumberFormat="1" applyFont="1" applyBorder="1" applyAlignment="1" applyProtection="1">
      <alignment horizontal="center"/>
      <protection locked="0"/>
    </xf>
    <xf numFmtId="0" fontId="26" fillId="0" borderId="0" xfId="1" applyFont="1" applyAlignment="1" applyProtection="1">
      <alignment horizontal="centerContinuous"/>
      <protection locked="0"/>
    </xf>
    <xf numFmtId="0" fontId="30" fillId="2" borderId="11" xfId="24" applyFont="1" applyBorder="1" applyAlignment="1" applyProtection="1">
      <alignment horizontal="center"/>
      <protection locked="0"/>
    </xf>
    <xf numFmtId="0" fontId="31" fillId="0" borderId="0" xfId="0" applyFont="1"/>
    <xf numFmtId="176" fontId="31" fillId="0" borderId="0" xfId="4" applyNumberFormat="1" applyFont="1" applyFill="1" applyAlignment="1"/>
    <xf numFmtId="0" fontId="32" fillId="0" borderId="1" xfId="0" applyFont="1" applyBorder="1"/>
    <xf numFmtId="0" fontId="33" fillId="0" borderId="1" xfId="0" applyFont="1" applyBorder="1"/>
    <xf numFmtId="0" fontId="1" fillId="0" borderId="0" xfId="1" applyAlignment="1" applyProtection="1">
      <alignment horizontal="center"/>
      <protection locked="0"/>
    </xf>
    <xf numFmtId="0" fontId="26" fillId="0" borderId="0" xfId="1" applyFont="1" applyAlignment="1" applyProtection="1">
      <alignment horizontal="center"/>
      <protection locked="0"/>
    </xf>
    <xf numFmtId="0" fontId="25" fillId="0" borderId="0" xfId="1" applyFont="1" applyAlignment="1" applyProtection="1">
      <alignment horizontal="center"/>
      <protection locked="0"/>
    </xf>
  </cellXfs>
  <cellStyles count="47">
    <cellStyle name="20% - 輔色1" xfId="24" builtinId="30" customBuiltin="1"/>
    <cellStyle name="20% - 輔色2" xfId="28" builtinId="34" customBuiltin="1"/>
    <cellStyle name="20% - 輔色3" xfId="32" builtinId="38" customBuiltin="1"/>
    <cellStyle name="20% - 輔色4" xfId="36" builtinId="42" customBuiltin="1"/>
    <cellStyle name="20% - 輔色5" xfId="40" builtinId="46" customBuiltin="1"/>
    <cellStyle name="20% - 輔色6" xfId="44" builtinId="50" customBuiltin="1"/>
    <cellStyle name="40% - 輔色1" xfId="25" builtinId="31" customBuiltin="1"/>
    <cellStyle name="40% - 輔色2" xfId="29" builtinId="35" customBuiltin="1"/>
    <cellStyle name="40% - 輔色3" xfId="33" builtinId="39" customBuiltin="1"/>
    <cellStyle name="40% - 輔色4" xfId="37" builtinId="43" customBuiltin="1"/>
    <cellStyle name="40% - 輔色5" xfId="41" builtinId="47" customBuiltin="1"/>
    <cellStyle name="40% - 輔色6" xfId="45" builtinId="51" customBuiltin="1"/>
    <cellStyle name="60% - 輔色1" xfId="26" builtinId="32" customBuiltin="1"/>
    <cellStyle name="60% - 輔色2" xfId="30" builtinId="36" customBuiltin="1"/>
    <cellStyle name="60% - 輔色3" xfId="34" builtinId="40" customBuiltin="1"/>
    <cellStyle name="60% - 輔色4" xfId="38" builtinId="44" customBuiltin="1"/>
    <cellStyle name="60% - 輔色5" xfId="42" builtinId="48" customBuiltin="1"/>
    <cellStyle name="60% - 輔色6" xfId="46" builtinId="52" customBuiltin="1"/>
    <cellStyle name="一般" xfId="0" builtinId="0" customBuiltin="1"/>
    <cellStyle name="千分位" xfId="2" builtinId="3" customBuiltin="1"/>
    <cellStyle name="千分位[0]" xfId="3" builtinId="6" customBuiltin="1"/>
    <cellStyle name="中等" xfId="13" builtinId="28" customBuiltin="1"/>
    <cellStyle name="合計" xfId="22" builtinId="25" customBuiltin="1"/>
    <cellStyle name="好" xfId="11" builtinId="26" customBuiltin="1"/>
    <cellStyle name="百分比" xfId="6" builtinId="5" customBuiltin="1"/>
    <cellStyle name="計算方式" xfId="16" builtinId="22" customBuiltin="1"/>
    <cellStyle name="貨幣" xfId="4" builtinId="4" customBuiltin="1"/>
    <cellStyle name="貨幣 [0]" xfId="5" builtinId="7" customBuiltin="1"/>
    <cellStyle name="連結的儲存格" xfId="17" builtinId="24" customBuiltin="1"/>
    <cellStyle name="備註" xfId="20" builtinId="10" customBuiltin="1"/>
    <cellStyle name="說明文字" xfId="21" builtinId="53" customBuiltin="1"/>
    <cellStyle name="輔色1" xfId="23" builtinId="29" customBuiltin="1"/>
    <cellStyle name="輔色2" xfId="27" builtinId="33" customBuiltin="1"/>
    <cellStyle name="輔色3" xfId="31" builtinId="37" customBuiltin="1"/>
    <cellStyle name="輔色4" xfId="35" builtinId="41" customBuiltin="1"/>
    <cellStyle name="輔色5" xfId="39" builtinId="45" customBuiltin="1"/>
    <cellStyle name="輔色6" xfId="43" builtinId="49" customBuiltin="1"/>
    <cellStyle name="標題" xfId="1" builtinId="15" customBuiltin="1"/>
    <cellStyle name="標題 1" xfId="7" builtinId="16" customBuiltin="1"/>
    <cellStyle name="標題 2" xfId="8" builtinId="17" customBuiltin="1"/>
    <cellStyle name="標題 3" xfId="9" builtinId="18" customBuiltin="1"/>
    <cellStyle name="標題 4" xfId="10" builtinId="19" customBuiltin="1"/>
    <cellStyle name="輸入" xfId="14" builtinId="20" customBuiltin="1"/>
    <cellStyle name="輸出" xfId="15" builtinId="21" customBuiltin="1"/>
    <cellStyle name="檢查儲存格" xfId="18" builtinId="23" customBuiltin="1"/>
    <cellStyle name="壞" xfId="12" builtinId="27" customBuiltin="1"/>
    <cellStyle name="警告文字" xfId="19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6" formatCode="_-&quot;$&quot;* #,##0_-;\-&quot;$&quot;* #,##0_-;_-&quot;$&quot;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6" formatCode="_-&quot;$&quot;* #,##0_-;\-&quot;$&quot;* #,##0_-;_-&quot;$&quot;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[模EEA2 禮盒銷售.xlsx]分析!樞紐分析表1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分析!$A$2:$A$7</c:f>
              <c:strCache>
                <c:ptCount val="5"/>
                <c:pt idx="0">
                  <c:v>水梨禮盒</c:v>
                </c:pt>
                <c:pt idx="1">
                  <c:v>草莓禮盒</c:v>
                </c:pt>
                <c:pt idx="2">
                  <c:v>鳳梨禮盒</c:v>
                </c:pt>
                <c:pt idx="3">
                  <c:v>蘋果禮盒</c:v>
                </c:pt>
                <c:pt idx="4">
                  <c:v>櫻桃禮盒</c:v>
                </c:pt>
              </c:strCache>
            </c:strRef>
          </c:cat>
          <c:val>
            <c:numRef>
              <c:f>分析!$B$2:$B$7</c:f>
              <c:numCache>
                <c:formatCode>General</c:formatCode>
                <c:ptCount val="5"/>
                <c:pt idx="0">
                  <c:v>8640</c:v>
                </c:pt>
                <c:pt idx="1">
                  <c:v>75240</c:v>
                </c:pt>
                <c:pt idx="2">
                  <c:v>9600</c:v>
                </c:pt>
                <c:pt idx="3">
                  <c:v>2700</c:v>
                </c:pt>
                <c:pt idx="4">
                  <c:v>101920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0-43C3-AC2D-A26E89425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572144"/>
        <c:axId val="934571728"/>
      </c:barChart>
      <c:catAx>
        <c:axId val="9345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4571728"/>
        <c:crosses val="autoZero"/>
        <c:auto val="1"/>
        <c:lblAlgn val="ctr"/>
        <c:lblOffset val="100"/>
        <c:noMultiLvlLbl val="0"/>
      </c:catAx>
      <c:valAx>
        <c:axId val="9345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45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38100</xdr:colOff>
      <xdr:row>16</xdr:row>
      <xdr:rowOff>28575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AA7AD7-2080-40E8-88CA-71E6701A7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327.945740625" createdVersion="7" refreshedVersion="7" minRefreshableVersion="3" recordCount="35" xr:uid="{20E6A6C4-175A-4E17-87D8-92A1CD361734}">
  <cacheSource type="worksheet">
    <worksheetSource ref="A2:F37" sheet="禮盒銷售表"/>
  </cacheSource>
  <cacheFields count="5">
    <cacheField name="客戶名稱" numFmtId="0">
      <sharedItems/>
    </cacheField>
    <cacheField name="產品名稱" numFmtId="0">
      <sharedItems count="5">
        <s v="蘋果禮盒"/>
        <s v="水梨禮盒"/>
        <s v="櫻桃禮盒"/>
        <s v="草莓禮盒"/>
        <s v="鳳梨禮盒"/>
      </sharedItems>
    </cacheField>
    <cacheField name="單價" numFmtId="44">
      <sharedItems containsSemiMixedTypes="0" containsString="0" containsNumber="1" containsInteger="1" minValue="150" maxValue="330"/>
    </cacheField>
    <cacheField name="數量" numFmtId="0">
      <sharedItems containsSemiMixedTypes="0" containsString="0" containsNumber="1" containsInteger="1" minValue="9" maxValue="30"/>
    </cacheField>
    <cacheField name="金額" numFmtId="176">
      <sharedItems containsSemiMixedTypes="0" containsString="0" containsNumber="1" containsInteger="1" minValue="1350" maxValue="9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Graeme"/>
    <x v="0"/>
    <n v="150"/>
    <n v="9"/>
    <n v="1350"/>
  </r>
  <r>
    <s v="Guy"/>
    <x v="0"/>
    <n v="150"/>
    <n v="9"/>
    <n v="1350"/>
  </r>
  <r>
    <s v="Humphry"/>
    <x v="1"/>
    <n v="180"/>
    <n v="12"/>
    <n v="2160"/>
  </r>
  <r>
    <s v="Harold"/>
    <x v="1"/>
    <n v="180"/>
    <n v="12"/>
    <n v="2160"/>
  </r>
  <r>
    <s v="Herbert"/>
    <x v="1"/>
    <n v="180"/>
    <n v="12"/>
    <n v="2160"/>
  </r>
  <r>
    <s v="Hubert"/>
    <x v="1"/>
    <n v="180"/>
    <n v="12"/>
    <n v="2160"/>
  </r>
  <r>
    <s v="Hector"/>
    <x v="2"/>
    <n v="260"/>
    <n v="24"/>
    <n v="6240"/>
  </r>
  <r>
    <s v="Sophia"/>
    <x v="2"/>
    <n v="260"/>
    <n v="24"/>
    <n v="6240"/>
  </r>
  <r>
    <s v="Stella"/>
    <x v="2"/>
    <n v="260"/>
    <n v="24"/>
    <n v="6240"/>
  </r>
  <r>
    <s v="Susanna"/>
    <x v="2"/>
    <n v="260"/>
    <n v="24"/>
    <n v="6240"/>
  </r>
  <r>
    <s v="Suzanne"/>
    <x v="2"/>
    <n v="260"/>
    <n v="24"/>
    <n v="6240"/>
  </r>
  <r>
    <s v="Terri"/>
    <x v="2"/>
    <n v="260"/>
    <n v="24"/>
    <n v="6240"/>
  </r>
  <r>
    <s v="Thelma"/>
    <x v="3"/>
    <n v="330"/>
    <n v="30"/>
    <n v="9900"/>
  </r>
  <r>
    <s v="Oscar"/>
    <x v="3"/>
    <n v="330"/>
    <n v="30"/>
    <n v="9900"/>
  </r>
  <r>
    <s v="Oz"/>
    <x v="3"/>
    <n v="330"/>
    <n v="30"/>
    <n v="9900"/>
  </r>
  <r>
    <s v="Osmond"/>
    <x v="4"/>
    <n v="160"/>
    <n v="30"/>
    <n v="4800"/>
  </r>
  <r>
    <s v="Pat"/>
    <x v="4"/>
    <n v="160"/>
    <n v="30"/>
    <n v="4800"/>
  </r>
  <r>
    <s v="Percy"/>
    <x v="2"/>
    <n v="260"/>
    <n v="18"/>
    <n v="4680"/>
  </r>
  <r>
    <s v="Phil"/>
    <x v="2"/>
    <n v="260"/>
    <n v="18"/>
    <n v="4680"/>
  </r>
  <r>
    <s v="Pearce"/>
    <x v="2"/>
    <n v="260"/>
    <n v="18"/>
    <n v="4680"/>
  </r>
  <r>
    <s v="Nan"/>
    <x v="2"/>
    <n v="260"/>
    <n v="18"/>
    <n v="4680"/>
  </r>
  <r>
    <s v="Natalie"/>
    <x v="2"/>
    <n v="260"/>
    <n v="18"/>
    <n v="4680"/>
  </r>
  <r>
    <s v="Nellie"/>
    <x v="2"/>
    <n v="260"/>
    <n v="18"/>
    <n v="4680"/>
  </r>
  <r>
    <s v="Nicole"/>
    <x v="3"/>
    <n v="330"/>
    <n v="26"/>
    <n v="8580"/>
  </r>
  <r>
    <s v="Nita"/>
    <x v="3"/>
    <n v="330"/>
    <n v="26"/>
    <n v="8580"/>
  </r>
  <r>
    <s v="Olive"/>
    <x v="3"/>
    <n v="330"/>
    <n v="26"/>
    <n v="8580"/>
  </r>
  <r>
    <s v="Pamela"/>
    <x v="3"/>
    <n v="330"/>
    <n v="20"/>
    <n v="6600"/>
  </r>
  <r>
    <s v="Pancy"/>
    <x v="3"/>
    <n v="330"/>
    <n v="20"/>
    <n v="6600"/>
  </r>
  <r>
    <s v="Clint"/>
    <x v="3"/>
    <n v="330"/>
    <n v="20"/>
    <n v="6600"/>
  </r>
  <r>
    <s v="Colin"/>
    <x v="2"/>
    <n v="260"/>
    <n v="22"/>
    <n v="5720"/>
  </r>
  <r>
    <s v="Cyril"/>
    <x v="2"/>
    <n v="260"/>
    <n v="22"/>
    <n v="5720"/>
  </r>
  <r>
    <s v="Lois"/>
    <x v="2"/>
    <n v="260"/>
    <n v="24"/>
    <n v="6240"/>
  </r>
  <r>
    <s v="Louisa"/>
    <x v="2"/>
    <n v="260"/>
    <n v="24"/>
    <n v="6240"/>
  </r>
  <r>
    <s v="Lucinda"/>
    <x v="2"/>
    <n v="260"/>
    <n v="24"/>
    <n v="6240"/>
  </r>
  <r>
    <s v="Lynn"/>
    <x v="2"/>
    <n v="260"/>
    <n v="24"/>
    <n v="6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9A88E-DA5B-4E86-B3EB-ED9E9368BCE7}" name="樞紐分析表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B7" firstHeaderRow="1" firstDataRow="1" firstDataCol="1"/>
  <pivotFields count="5"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numFmtId="44" showAll="0"/>
    <pivotField showAll="0"/>
    <pivotField dataField="1" numFmtId="176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金額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71896-A40E-4C1C-82A6-D179C7BCC23A}" name="講師" displayName="講師" ref="A3:B7" totalsRowShown="0" headerRowDxfId="10" dataDxfId="8" headerRowBorderDxfId="9">
  <autoFilter ref="A3:B7" xr:uid="{7CA947CB-8D9C-4BCA-99B5-2ADA3237A13A}"/>
  <tableColumns count="2">
    <tableColumn id="1" xr3:uid="{2D7BC02A-214D-4398-97B7-DA29F64BC79C}" name="銷售員名稱" dataDxfId="7"/>
    <tableColumn id="5" xr3:uid="{68CEFD44-76BA-4336-97D9-71766CF44987}" name="工作時間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B9C78-E384-4674-87D4-6C78F8155C28}" name="表格2" displayName="表格2" ref="A3:C7" totalsRowShown="0" headerRowDxfId="5" dataDxfId="3" headerRowBorderDxfId="4">
  <autoFilter ref="A3:C7" xr:uid="{74AC3328-897C-452B-9E32-5615FC7368D7}"/>
  <tableColumns count="3">
    <tableColumn id="1" xr3:uid="{E1C6065B-CE06-4418-9E8D-AA410A6ADF8F}" name="銷售員" dataDxfId="2"/>
    <tableColumn id="2" xr3:uid="{53C3313E-5B82-400E-8F47-3FD27A0860E9}" name="基本薪資" dataDxfId="1"/>
    <tableColumn id="3" xr3:uid="{CF8BCEFA-B8E8-49EE-B90F-44A438C03118}" name="加給獎金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E4FE-EBE4-4338-BC1B-766C137E5575}">
  <sheetPr codeName="工作表1"/>
  <dimension ref="A1:F37"/>
  <sheetViews>
    <sheetView tabSelected="1" topLeftCell="B1" workbookViewId="0">
      <selection activeCell="C1" sqref="C1"/>
    </sheetView>
  </sheetViews>
  <sheetFormatPr defaultColWidth="9" defaultRowHeight="14.25" x14ac:dyDescent="0.45"/>
  <cols>
    <col min="1" max="1" width="24.3984375" style="2" bestFit="1" customWidth="1"/>
    <col min="2" max="3" width="15.3984375" style="2" customWidth="1"/>
    <col min="4" max="4" width="15" style="2" customWidth="1"/>
    <col min="5" max="5" width="17.3984375" style="2" customWidth="1"/>
    <col min="6" max="6" width="9.3984375" style="2" customWidth="1"/>
    <col min="7" max="16384" width="9" style="2"/>
  </cols>
  <sheetData>
    <row r="1" spans="1:6" ht="25.15" x14ac:dyDescent="0.75">
      <c r="A1" s="6" t="s">
        <v>48</v>
      </c>
      <c r="B1" s="1"/>
      <c r="C1" s="1"/>
      <c r="D1" s="1"/>
      <c r="E1" s="1"/>
      <c r="F1" s="1"/>
    </row>
    <row r="2" spans="1:6" ht="15.4" thickBot="1" x14ac:dyDescent="0.5">
      <c r="A2" s="7" t="s">
        <v>1</v>
      </c>
      <c r="B2" s="7" t="s">
        <v>2</v>
      </c>
      <c r="C2" s="7" t="s">
        <v>80</v>
      </c>
      <c r="D2" s="7" t="s">
        <v>3</v>
      </c>
      <c r="E2" s="7" t="s">
        <v>4</v>
      </c>
      <c r="F2" s="8" t="s">
        <v>5</v>
      </c>
    </row>
    <row r="3" spans="1:6" x14ac:dyDescent="0.45">
      <c r="A3" t="s">
        <v>6</v>
      </c>
      <c r="B3" t="s">
        <v>41</v>
      </c>
      <c r="C3" t="s">
        <v>51</v>
      </c>
      <c r="D3" s="3">
        <v>150</v>
      </c>
      <c r="E3" s="5">
        <v>9</v>
      </c>
      <c r="F3" s="4">
        <f>D3*E3</f>
        <v>1350</v>
      </c>
    </row>
    <row r="4" spans="1:6" x14ac:dyDescent="0.45">
      <c r="A4" t="s">
        <v>7</v>
      </c>
      <c r="B4" t="s">
        <v>41</v>
      </c>
      <c r="C4" t="s">
        <v>53</v>
      </c>
      <c r="D4" s="3">
        <v>150</v>
      </c>
      <c r="E4" s="5">
        <v>9</v>
      </c>
      <c r="F4" s="4">
        <f t="shared" ref="F4:F37" si="0">D4*E4</f>
        <v>1350</v>
      </c>
    </row>
    <row r="5" spans="1:6" x14ac:dyDescent="0.45">
      <c r="A5" t="s">
        <v>8</v>
      </c>
      <c r="B5" t="s">
        <v>42</v>
      </c>
      <c r="C5" t="s">
        <v>53</v>
      </c>
      <c r="D5" s="3">
        <v>180</v>
      </c>
      <c r="E5" s="5">
        <v>12</v>
      </c>
      <c r="F5" s="4">
        <f t="shared" si="0"/>
        <v>2160</v>
      </c>
    </row>
    <row r="6" spans="1:6" x14ac:dyDescent="0.45">
      <c r="A6" t="s">
        <v>9</v>
      </c>
      <c r="B6" t="s">
        <v>42</v>
      </c>
      <c r="C6" t="s">
        <v>53</v>
      </c>
      <c r="D6" s="3">
        <v>180</v>
      </c>
      <c r="E6" s="5">
        <v>12</v>
      </c>
      <c r="F6" s="4">
        <f t="shared" si="0"/>
        <v>2160</v>
      </c>
    </row>
    <row r="7" spans="1:6" x14ac:dyDescent="0.45">
      <c r="A7" t="s">
        <v>10</v>
      </c>
      <c r="B7" t="s">
        <v>42</v>
      </c>
      <c r="C7" t="s">
        <v>55</v>
      </c>
      <c r="D7" s="3">
        <v>180</v>
      </c>
      <c r="E7" s="5">
        <v>12</v>
      </c>
      <c r="F7" s="4">
        <f t="shared" si="0"/>
        <v>2160</v>
      </c>
    </row>
    <row r="8" spans="1:6" x14ac:dyDescent="0.45">
      <c r="A8" t="s">
        <v>11</v>
      </c>
      <c r="B8" t="s">
        <v>42</v>
      </c>
      <c r="C8" t="s">
        <v>53</v>
      </c>
      <c r="D8" s="3">
        <v>180</v>
      </c>
      <c r="E8" s="5">
        <v>12</v>
      </c>
      <c r="F8" s="4">
        <f t="shared" si="0"/>
        <v>2160</v>
      </c>
    </row>
    <row r="9" spans="1:6" x14ac:dyDescent="0.45">
      <c r="A9" t="s">
        <v>12</v>
      </c>
      <c r="B9" t="s">
        <v>43</v>
      </c>
      <c r="C9" t="s">
        <v>55</v>
      </c>
      <c r="D9" s="3">
        <v>260</v>
      </c>
      <c r="E9" s="5">
        <v>24</v>
      </c>
      <c r="F9" s="4">
        <f t="shared" si="0"/>
        <v>6240</v>
      </c>
    </row>
    <row r="10" spans="1:6" x14ac:dyDescent="0.45">
      <c r="A10" t="s">
        <v>13</v>
      </c>
      <c r="B10" t="s">
        <v>43</v>
      </c>
      <c r="C10" t="s">
        <v>55</v>
      </c>
      <c r="D10" s="3">
        <v>260</v>
      </c>
      <c r="E10" s="5">
        <v>24</v>
      </c>
      <c r="F10" s="4">
        <f t="shared" si="0"/>
        <v>6240</v>
      </c>
    </row>
    <row r="11" spans="1:6" x14ac:dyDescent="0.45">
      <c r="A11" t="s">
        <v>14</v>
      </c>
      <c r="B11" t="s">
        <v>43</v>
      </c>
      <c r="C11" t="s">
        <v>51</v>
      </c>
      <c r="D11" s="3">
        <v>260</v>
      </c>
      <c r="E11" s="5">
        <v>24</v>
      </c>
      <c r="F11" s="4">
        <f t="shared" si="0"/>
        <v>6240</v>
      </c>
    </row>
    <row r="12" spans="1:6" x14ac:dyDescent="0.45">
      <c r="A12" t="s">
        <v>15</v>
      </c>
      <c r="B12" t="s">
        <v>43</v>
      </c>
      <c r="C12" t="s">
        <v>55</v>
      </c>
      <c r="D12" s="3">
        <v>260</v>
      </c>
      <c r="E12" s="5">
        <v>24</v>
      </c>
      <c r="F12" s="4">
        <f t="shared" si="0"/>
        <v>6240</v>
      </c>
    </row>
    <row r="13" spans="1:6" x14ac:dyDescent="0.45">
      <c r="A13" t="s">
        <v>16</v>
      </c>
      <c r="B13" t="s">
        <v>43</v>
      </c>
      <c r="C13" t="s">
        <v>53</v>
      </c>
      <c r="D13" s="3">
        <v>260</v>
      </c>
      <c r="E13" s="5">
        <v>24</v>
      </c>
      <c r="F13" s="4">
        <f t="shared" si="0"/>
        <v>6240</v>
      </c>
    </row>
    <row r="14" spans="1:6" x14ac:dyDescent="0.45">
      <c r="A14" t="s">
        <v>17</v>
      </c>
      <c r="B14" t="s">
        <v>43</v>
      </c>
      <c r="C14" t="s">
        <v>55</v>
      </c>
      <c r="D14" s="3">
        <v>260</v>
      </c>
      <c r="E14" s="5">
        <v>24</v>
      </c>
      <c r="F14" s="4">
        <f t="shared" si="0"/>
        <v>6240</v>
      </c>
    </row>
    <row r="15" spans="1:6" x14ac:dyDescent="0.45">
      <c r="A15" t="s">
        <v>18</v>
      </c>
      <c r="B15" t="s">
        <v>44</v>
      </c>
      <c r="C15" t="s">
        <v>51</v>
      </c>
      <c r="D15" s="3">
        <v>330</v>
      </c>
      <c r="E15" s="5">
        <v>30</v>
      </c>
      <c r="F15" s="4">
        <f t="shared" si="0"/>
        <v>9900</v>
      </c>
    </row>
    <row r="16" spans="1:6" x14ac:dyDescent="0.45">
      <c r="A16" t="s">
        <v>19</v>
      </c>
      <c r="B16" t="s">
        <v>44</v>
      </c>
      <c r="C16" t="s">
        <v>57</v>
      </c>
      <c r="D16" s="3">
        <v>330</v>
      </c>
      <c r="E16" s="5">
        <v>30</v>
      </c>
      <c r="F16" s="4">
        <f t="shared" si="0"/>
        <v>9900</v>
      </c>
    </row>
    <row r="17" spans="1:6" x14ac:dyDescent="0.45">
      <c r="A17" t="s">
        <v>20</v>
      </c>
      <c r="B17" t="s">
        <v>44</v>
      </c>
      <c r="C17" t="s">
        <v>55</v>
      </c>
      <c r="D17" s="3">
        <v>330</v>
      </c>
      <c r="E17" s="5">
        <v>30</v>
      </c>
      <c r="F17" s="4">
        <f t="shared" si="0"/>
        <v>9900</v>
      </c>
    </row>
    <row r="18" spans="1:6" x14ac:dyDescent="0.45">
      <c r="A18" t="s">
        <v>21</v>
      </c>
      <c r="B18" t="s">
        <v>45</v>
      </c>
      <c r="C18" t="s">
        <v>51</v>
      </c>
      <c r="D18" s="3">
        <v>160</v>
      </c>
      <c r="E18" s="5">
        <v>30</v>
      </c>
      <c r="F18" s="4">
        <f t="shared" si="0"/>
        <v>4800</v>
      </c>
    </row>
    <row r="19" spans="1:6" x14ac:dyDescent="0.45">
      <c r="A19" t="s">
        <v>22</v>
      </c>
      <c r="B19" t="s">
        <v>45</v>
      </c>
      <c r="C19" t="s">
        <v>53</v>
      </c>
      <c r="D19" s="3">
        <v>160</v>
      </c>
      <c r="E19" s="5">
        <v>30</v>
      </c>
      <c r="F19" s="4">
        <f t="shared" si="0"/>
        <v>4800</v>
      </c>
    </row>
    <row r="20" spans="1:6" x14ac:dyDescent="0.45">
      <c r="A20" t="s">
        <v>23</v>
      </c>
      <c r="B20" t="s">
        <v>43</v>
      </c>
      <c r="C20" t="s">
        <v>55</v>
      </c>
      <c r="D20" s="3">
        <v>260</v>
      </c>
      <c r="E20" s="5">
        <v>18</v>
      </c>
      <c r="F20" s="4">
        <f t="shared" si="0"/>
        <v>4680</v>
      </c>
    </row>
    <row r="21" spans="1:6" x14ac:dyDescent="0.45">
      <c r="A21" t="s">
        <v>24</v>
      </c>
      <c r="B21" t="s">
        <v>43</v>
      </c>
      <c r="C21" t="s">
        <v>51</v>
      </c>
      <c r="D21" s="3">
        <v>260</v>
      </c>
      <c r="E21" s="5">
        <v>18</v>
      </c>
      <c r="F21" s="4">
        <f t="shared" si="0"/>
        <v>4680</v>
      </c>
    </row>
    <row r="22" spans="1:6" x14ac:dyDescent="0.45">
      <c r="A22" t="s">
        <v>25</v>
      </c>
      <c r="B22" t="s">
        <v>43</v>
      </c>
      <c r="C22" t="s">
        <v>53</v>
      </c>
      <c r="D22" s="3">
        <v>260</v>
      </c>
      <c r="E22" s="5">
        <v>18</v>
      </c>
      <c r="F22" s="4">
        <f t="shared" si="0"/>
        <v>4680</v>
      </c>
    </row>
    <row r="23" spans="1:6" x14ac:dyDescent="0.45">
      <c r="A23" t="s">
        <v>26</v>
      </c>
      <c r="B23" t="s">
        <v>43</v>
      </c>
      <c r="C23" t="s">
        <v>57</v>
      </c>
      <c r="D23" s="3">
        <v>260</v>
      </c>
      <c r="E23" s="5">
        <v>18</v>
      </c>
      <c r="F23" s="4">
        <f t="shared" si="0"/>
        <v>4680</v>
      </c>
    </row>
    <row r="24" spans="1:6" x14ac:dyDescent="0.45">
      <c r="A24" t="s">
        <v>27</v>
      </c>
      <c r="B24" t="s">
        <v>43</v>
      </c>
      <c r="C24" t="s">
        <v>53</v>
      </c>
      <c r="D24" s="3">
        <v>260</v>
      </c>
      <c r="E24" s="5">
        <v>18</v>
      </c>
      <c r="F24" s="4">
        <f t="shared" si="0"/>
        <v>4680</v>
      </c>
    </row>
    <row r="25" spans="1:6" x14ac:dyDescent="0.45">
      <c r="A25" t="s">
        <v>28</v>
      </c>
      <c r="B25" t="s">
        <v>43</v>
      </c>
      <c r="C25" t="s">
        <v>57</v>
      </c>
      <c r="D25" s="3">
        <v>260</v>
      </c>
      <c r="E25" s="5">
        <v>18</v>
      </c>
      <c r="F25" s="4">
        <f t="shared" si="0"/>
        <v>4680</v>
      </c>
    </row>
    <row r="26" spans="1:6" x14ac:dyDescent="0.45">
      <c r="A26" t="s">
        <v>29</v>
      </c>
      <c r="B26" t="s">
        <v>44</v>
      </c>
      <c r="C26" t="s">
        <v>53</v>
      </c>
      <c r="D26" s="3">
        <v>330</v>
      </c>
      <c r="E26" s="5">
        <v>26</v>
      </c>
      <c r="F26" s="4">
        <f t="shared" si="0"/>
        <v>8580</v>
      </c>
    </row>
    <row r="27" spans="1:6" x14ac:dyDescent="0.45">
      <c r="A27" t="s">
        <v>30</v>
      </c>
      <c r="B27" t="s">
        <v>44</v>
      </c>
      <c r="C27" t="s">
        <v>57</v>
      </c>
      <c r="D27" s="3">
        <v>330</v>
      </c>
      <c r="E27" s="5">
        <v>26</v>
      </c>
      <c r="F27" s="4">
        <f t="shared" si="0"/>
        <v>8580</v>
      </c>
    </row>
    <row r="28" spans="1:6" x14ac:dyDescent="0.45">
      <c r="A28" t="s">
        <v>31</v>
      </c>
      <c r="B28" t="s">
        <v>44</v>
      </c>
      <c r="C28" t="s">
        <v>53</v>
      </c>
      <c r="D28" s="3">
        <v>330</v>
      </c>
      <c r="E28" s="5">
        <v>26</v>
      </c>
      <c r="F28" s="4">
        <f t="shared" si="0"/>
        <v>8580</v>
      </c>
    </row>
    <row r="29" spans="1:6" x14ac:dyDescent="0.45">
      <c r="A29" t="s">
        <v>32</v>
      </c>
      <c r="B29" t="s">
        <v>44</v>
      </c>
      <c r="C29" t="s">
        <v>57</v>
      </c>
      <c r="D29" s="3">
        <v>330</v>
      </c>
      <c r="E29" s="5">
        <v>20</v>
      </c>
      <c r="F29" s="4">
        <f t="shared" si="0"/>
        <v>6600</v>
      </c>
    </row>
    <row r="30" spans="1:6" x14ac:dyDescent="0.45">
      <c r="A30" t="s">
        <v>33</v>
      </c>
      <c r="B30" t="s">
        <v>44</v>
      </c>
      <c r="C30" t="s">
        <v>55</v>
      </c>
      <c r="D30" s="3">
        <v>330</v>
      </c>
      <c r="E30" s="5">
        <v>20</v>
      </c>
      <c r="F30" s="4">
        <f t="shared" si="0"/>
        <v>6600</v>
      </c>
    </row>
    <row r="31" spans="1:6" x14ac:dyDescent="0.45">
      <c r="A31" t="s">
        <v>34</v>
      </c>
      <c r="B31" t="s">
        <v>44</v>
      </c>
      <c r="C31" t="s">
        <v>51</v>
      </c>
      <c r="D31" s="3">
        <v>330</v>
      </c>
      <c r="E31" s="5">
        <v>20</v>
      </c>
      <c r="F31" s="4">
        <f t="shared" si="0"/>
        <v>6600</v>
      </c>
    </row>
    <row r="32" spans="1:6" x14ac:dyDescent="0.45">
      <c r="A32" t="s">
        <v>35</v>
      </c>
      <c r="B32" t="s">
        <v>43</v>
      </c>
      <c r="C32" t="s">
        <v>57</v>
      </c>
      <c r="D32" s="3">
        <v>260</v>
      </c>
      <c r="E32" s="5">
        <v>22</v>
      </c>
      <c r="F32" s="4">
        <f t="shared" si="0"/>
        <v>5720</v>
      </c>
    </row>
    <row r="33" spans="1:6" x14ac:dyDescent="0.45">
      <c r="A33" t="s">
        <v>36</v>
      </c>
      <c r="B33" t="s">
        <v>43</v>
      </c>
      <c r="C33" t="s">
        <v>57</v>
      </c>
      <c r="D33" s="3">
        <v>260</v>
      </c>
      <c r="E33" s="5">
        <v>22</v>
      </c>
      <c r="F33" s="4">
        <f t="shared" si="0"/>
        <v>5720</v>
      </c>
    </row>
    <row r="34" spans="1:6" x14ac:dyDescent="0.45">
      <c r="A34" t="s">
        <v>37</v>
      </c>
      <c r="B34" t="s">
        <v>43</v>
      </c>
      <c r="C34" t="s">
        <v>55</v>
      </c>
      <c r="D34" s="3">
        <v>260</v>
      </c>
      <c r="E34" s="5">
        <v>24</v>
      </c>
      <c r="F34" s="4">
        <f t="shared" si="0"/>
        <v>6240</v>
      </c>
    </row>
    <row r="35" spans="1:6" x14ac:dyDescent="0.45">
      <c r="A35" t="s">
        <v>38</v>
      </c>
      <c r="B35" t="s">
        <v>43</v>
      </c>
      <c r="C35" t="s">
        <v>57</v>
      </c>
      <c r="D35" s="3">
        <v>260</v>
      </c>
      <c r="E35" s="5">
        <v>24</v>
      </c>
      <c r="F35" s="4">
        <f t="shared" si="0"/>
        <v>6240</v>
      </c>
    </row>
    <row r="36" spans="1:6" x14ac:dyDescent="0.45">
      <c r="A36" t="s">
        <v>39</v>
      </c>
      <c r="B36" t="s">
        <v>43</v>
      </c>
      <c r="C36" t="s">
        <v>57</v>
      </c>
      <c r="D36" s="3">
        <v>260</v>
      </c>
      <c r="E36" s="5">
        <v>24</v>
      </c>
      <c r="F36" s="4">
        <f t="shared" si="0"/>
        <v>6240</v>
      </c>
    </row>
    <row r="37" spans="1:6" x14ac:dyDescent="0.45">
      <c r="A37" t="s">
        <v>40</v>
      </c>
      <c r="B37" t="s">
        <v>43</v>
      </c>
      <c r="C37" t="s">
        <v>55</v>
      </c>
      <c r="D37" s="3">
        <v>260</v>
      </c>
      <c r="E37" s="5">
        <v>24</v>
      </c>
      <c r="F37" s="4">
        <f t="shared" si="0"/>
        <v>6240</v>
      </c>
    </row>
  </sheetData>
  <phoneticPr fontId="4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2C6C-BDAB-492F-B4A5-34E9AD497BA2}">
  <dimension ref="A1:B7"/>
  <sheetViews>
    <sheetView workbookViewId="0"/>
  </sheetViews>
  <sheetFormatPr defaultRowHeight="14.25" x14ac:dyDescent="0.45"/>
  <cols>
    <col min="1" max="1" width="21.265625" bestFit="1" customWidth="1"/>
    <col min="2" max="2" width="13.19921875" bestFit="1" customWidth="1"/>
  </cols>
  <sheetData>
    <row r="1" spans="1:2" ht="25.15" x14ac:dyDescent="0.75">
      <c r="A1" s="12" t="s">
        <v>49</v>
      </c>
      <c r="B1" s="12"/>
    </row>
    <row r="2" spans="1:2" ht="22.9" x14ac:dyDescent="0.7">
      <c r="A2" s="14" t="s">
        <v>76</v>
      </c>
      <c r="B2" s="13"/>
    </row>
    <row r="3" spans="1:2" ht="15.4" thickBot="1" x14ac:dyDescent="0.5">
      <c r="A3" s="8" t="s">
        <v>77</v>
      </c>
      <c r="B3" s="15" t="s">
        <v>58</v>
      </c>
    </row>
    <row r="4" spans="1:2" ht="15" x14ac:dyDescent="0.45">
      <c r="A4" s="2" t="s">
        <v>50</v>
      </c>
      <c r="B4" s="16" t="s">
        <v>59</v>
      </c>
    </row>
    <row r="5" spans="1:2" ht="15" x14ac:dyDescent="0.45">
      <c r="A5" s="2" t="s">
        <v>52</v>
      </c>
      <c r="B5" s="16" t="s">
        <v>59</v>
      </c>
    </row>
    <row r="6" spans="1:2" ht="15" x14ac:dyDescent="0.45">
      <c r="A6" s="2" t="s">
        <v>54</v>
      </c>
      <c r="B6" s="16" t="s">
        <v>60</v>
      </c>
    </row>
    <row r="7" spans="1:2" ht="15" x14ac:dyDescent="0.45">
      <c r="A7" s="2" t="s">
        <v>56</v>
      </c>
      <c r="B7" s="16" t="s">
        <v>61</v>
      </c>
    </row>
  </sheetData>
  <phoneticPr fontId="20" type="noConversion"/>
  <conditionalFormatting sqref="B4:B7">
    <cfRule type="containsText" dxfId="11" priority="1" operator="containsText" text="週末">
      <formula>NOT(ISERROR(SEARCH("週末",B4)))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3A64-B138-4191-9687-CF35C5A35A6F}">
  <dimension ref="A1:B9"/>
  <sheetViews>
    <sheetView workbookViewId="0"/>
  </sheetViews>
  <sheetFormatPr defaultRowHeight="14.25" x14ac:dyDescent="0.45"/>
  <cols>
    <col min="1" max="1" width="21.1328125" bestFit="1" customWidth="1"/>
    <col min="2" max="2" width="21.86328125" bestFit="1" customWidth="1"/>
  </cols>
  <sheetData>
    <row r="1" spans="1:2" ht="25.15" x14ac:dyDescent="0.75">
      <c r="A1" s="17" t="s">
        <v>68</v>
      </c>
      <c r="B1" s="17"/>
    </row>
    <row r="2" spans="1:2" ht="22.9" x14ac:dyDescent="0.7">
      <c r="A2" s="26" t="s">
        <v>69</v>
      </c>
      <c r="B2" s="18"/>
    </row>
    <row r="3" spans="1:2" ht="14.65" thickBot="1" x14ac:dyDescent="0.5">
      <c r="A3" s="19" t="s">
        <v>62</v>
      </c>
      <c r="B3" s="19" t="s">
        <v>63</v>
      </c>
    </row>
    <row r="4" spans="1:2" ht="15" x14ac:dyDescent="0.45">
      <c r="A4" t="s">
        <v>64</v>
      </c>
      <c r="B4" s="21" t="s">
        <v>70</v>
      </c>
    </row>
    <row r="5" spans="1:2" ht="15" x14ac:dyDescent="0.45">
      <c r="A5" s="20" t="s">
        <v>65</v>
      </c>
      <c r="B5" s="21" t="s">
        <v>71</v>
      </c>
    </row>
    <row r="6" spans="1:2" ht="15" x14ac:dyDescent="0.45">
      <c r="A6" s="20" t="s">
        <v>66</v>
      </c>
      <c r="B6" s="21" t="s">
        <v>72</v>
      </c>
    </row>
    <row r="7" spans="1:2" ht="14.65" thickBot="1" x14ac:dyDescent="0.5">
      <c r="A7" s="22"/>
      <c r="B7" s="22"/>
    </row>
    <row r="8" spans="1:2" x14ac:dyDescent="0.45">
      <c r="A8" s="27" t="s">
        <v>73</v>
      </c>
      <c r="B8" s="23">
        <f ca="1">DATE(YEAR(TODAY()),5,5)</f>
        <v>44321</v>
      </c>
    </row>
    <row r="9" spans="1:2" ht="14.65" thickBot="1" x14ac:dyDescent="0.5">
      <c r="A9" s="24" t="s">
        <v>67</v>
      </c>
      <c r="B9" s="25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EEEB-C03B-4A41-92DC-8533B8656E80}">
  <dimension ref="A1:C7"/>
  <sheetViews>
    <sheetView workbookViewId="0">
      <selection sqref="A1:C1"/>
    </sheetView>
  </sheetViews>
  <sheetFormatPr defaultRowHeight="14.25" x14ac:dyDescent="0.45"/>
  <cols>
    <col min="1" max="1" width="14.19921875" bestFit="1" customWidth="1"/>
    <col min="2" max="2" width="11.9296875" bestFit="1" customWidth="1"/>
    <col min="3" max="3" width="14.06640625" bestFit="1" customWidth="1"/>
  </cols>
  <sheetData>
    <row r="1" spans="1:3" ht="25.15" x14ac:dyDescent="0.75">
      <c r="A1" s="32" t="s">
        <v>68</v>
      </c>
      <c r="B1" s="32"/>
      <c r="C1" s="32"/>
    </row>
    <row r="2" spans="1:3" ht="22.9" x14ac:dyDescent="0.7">
      <c r="A2" s="33" t="s">
        <v>74</v>
      </c>
      <c r="B2" s="34"/>
      <c r="C2" s="34"/>
    </row>
    <row r="3" spans="1:3" ht="16.5" thickBot="1" x14ac:dyDescent="0.5">
      <c r="A3" s="30" t="s">
        <v>75</v>
      </c>
      <c r="B3" s="31" t="s">
        <v>78</v>
      </c>
      <c r="C3" s="30" t="s">
        <v>79</v>
      </c>
    </row>
    <row r="4" spans="1:3" x14ac:dyDescent="0.45">
      <c r="A4" s="28" t="s">
        <v>50</v>
      </c>
      <c r="B4" s="29">
        <v>25000</v>
      </c>
      <c r="C4" s="29">
        <v>3980</v>
      </c>
    </row>
    <row r="5" spans="1:3" x14ac:dyDescent="0.45">
      <c r="A5" s="28" t="s">
        <v>52</v>
      </c>
      <c r="B5" s="29">
        <v>23000</v>
      </c>
      <c r="C5" s="29">
        <v>4500</v>
      </c>
    </row>
    <row r="6" spans="1:3" x14ac:dyDescent="0.45">
      <c r="A6" s="28" t="s">
        <v>54</v>
      </c>
      <c r="B6" s="29">
        <v>27000</v>
      </c>
      <c r="C6" s="29">
        <v>5200</v>
      </c>
    </row>
    <row r="7" spans="1:3" x14ac:dyDescent="0.45">
      <c r="A7" s="28" t="s">
        <v>56</v>
      </c>
      <c r="B7" s="29">
        <v>24000</v>
      </c>
      <c r="C7" s="29">
        <v>4350</v>
      </c>
    </row>
  </sheetData>
  <mergeCells count="2">
    <mergeCell ref="A1:C1"/>
    <mergeCell ref="A2:C2"/>
  </mergeCells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F1D-A4F6-4373-A6DC-18ED67E3092F}">
  <dimension ref="A1:B7"/>
  <sheetViews>
    <sheetView workbookViewId="0"/>
  </sheetViews>
  <sheetFormatPr defaultRowHeight="14.25" x14ac:dyDescent="0.45"/>
  <cols>
    <col min="2" max="2" width="10.3984375" bestFit="1" customWidth="1"/>
  </cols>
  <sheetData>
    <row r="1" spans="1:2" x14ac:dyDescent="0.45">
      <c r="A1" s="9" t="s">
        <v>46</v>
      </c>
      <c r="B1" t="s">
        <v>47</v>
      </c>
    </row>
    <row r="2" spans="1:2" x14ac:dyDescent="0.45">
      <c r="A2" s="10" t="s">
        <v>42</v>
      </c>
      <c r="B2" s="11">
        <v>8640</v>
      </c>
    </row>
    <row r="3" spans="1:2" x14ac:dyDescent="0.45">
      <c r="A3" s="10" t="s">
        <v>44</v>
      </c>
      <c r="B3" s="11">
        <v>75240</v>
      </c>
    </row>
    <row r="4" spans="1:2" x14ac:dyDescent="0.45">
      <c r="A4" s="10" t="s">
        <v>45</v>
      </c>
      <c r="B4" s="11">
        <v>9600</v>
      </c>
    </row>
    <row r="5" spans="1:2" x14ac:dyDescent="0.45">
      <c r="A5" s="10" t="s">
        <v>41</v>
      </c>
      <c r="B5" s="11">
        <v>2700</v>
      </c>
    </row>
    <row r="6" spans="1:2" x14ac:dyDescent="0.45">
      <c r="A6" s="10" t="s">
        <v>43</v>
      </c>
      <c r="B6" s="11">
        <v>101920</v>
      </c>
    </row>
    <row r="7" spans="1:2" x14ac:dyDescent="0.45">
      <c r="A7" s="10" t="s">
        <v>0</v>
      </c>
      <c r="B7" s="11">
        <v>198100</v>
      </c>
    </row>
  </sheetData>
  <phoneticPr fontId="20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95B3D3-195B-4951-BDD5-3C5DDB40C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AD2645-59B8-4639-893E-B0AAE93D8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0e584-11c4-49ff-b173-4bb87e503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474068-9DD7-4F29-AF25-5FDFA18B581E}">
  <ds:schemaRefs>
    <ds:schemaRef ds:uri="http://purl.org/dc/terms/"/>
    <ds:schemaRef ds:uri="http://schemas.microsoft.com/sharepoint/v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7e75463-0609-43b1-9861-fe0c92935952"/>
    <ds:schemaRef ds:uri="59c1bcad-7098-423b-871d-6eb77e919c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禮盒銷售表</vt:lpstr>
      <vt:lpstr>銷售員</vt:lpstr>
      <vt:lpstr>銷售日期</vt:lpstr>
      <vt:lpstr>收入</vt:lpstr>
      <vt:lpstr>分析</vt:lpstr>
      <vt:lpstr>平日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User</cp:lastModifiedBy>
  <dcterms:created xsi:type="dcterms:W3CDTF">2019-03-17T13:26:36Z</dcterms:created>
  <dcterms:modified xsi:type="dcterms:W3CDTF">2021-05-11T15:09:08Z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