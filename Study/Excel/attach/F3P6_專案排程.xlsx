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E7A062F5-B910-483E-939A-8E1A483275F4}" xr6:coauthVersionLast="46" xr6:coauthVersionMax="46" xr10:uidLastSave="{00000000-0000-0000-0000-000000000000}"/>
  <bookViews>
    <workbookView xWindow="0" yWindow="0" windowWidth="20415" windowHeight="9810" xr2:uid="{7D4BDAB9-2D71-4250-92A8-DB1C6DD48027}"/>
  </bookViews>
  <sheets>
    <sheet name="會議排程" sheetId="1" r:id="rId1"/>
    <sheet name="資源" sheetId="2" r:id="rId2"/>
    <sheet name="假日表" sheetId="3" r:id="rId3"/>
  </sheets>
  <definedNames>
    <definedName name="假日清單">假日表!$A$3:$A$38</definedName>
    <definedName name="資源資料表">資源!$A$2:$I$14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8" i="1"/>
  <c r="D8" i="1"/>
  <c r="B9" i="1" s="1"/>
  <c r="D9" i="1" s="1"/>
  <c r="B10" i="1" s="1"/>
  <c r="D10" i="1" s="1"/>
  <c r="B11" i="1" s="1"/>
  <c r="D11" i="1" s="1"/>
  <c r="B12" i="1" s="1"/>
  <c r="D12" i="1" s="1"/>
  <c r="B13" i="1" s="1"/>
  <c r="D13" i="1" s="1"/>
  <c r="B14" i="1" s="1"/>
  <c r="D14" i="1" s="1"/>
  <c r="B15" i="1" s="1"/>
  <c r="D15" i="1" s="1"/>
  <c r="B16" i="1" s="1"/>
  <c r="D16" i="1" s="1"/>
  <c r="B17" i="1" s="1"/>
  <c r="D17" i="1" s="1"/>
  <c r="B7" i="1"/>
  <c r="D6" i="1"/>
  <c r="B6" i="1"/>
  <c r="D7" i="1" l="1"/>
</calcChain>
</file>

<file path=xl/sharedStrings.xml><?xml version="1.0" encoding="utf-8"?>
<sst xmlns="http://schemas.openxmlformats.org/spreadsheetml/2006/main" count="162" uniqueCount="85">
  <si>
    <t>專案會議籌備排程</t>
    <phoneticPr fontId="5" type="noConversion"/>
  </si>
  <si>
    <t>開始日期</t>
    <phoneticPr fontId="5" type="noConversion"/>
  </si>
  <si>
    <t>工期</t>
    <phoneticPr fontId="5" type="noConversion"/>
  </si>
  <si>
    <t>結束日期</t>
    <phoneticPr fontId="5" type="noConversion"/>
  </si>
  <si>
    <t>樂觀
的工期</t>
    <phoneticPr fontId="5" type="noConversion"/>
  </si>
  <si>
    <t>最可能
的工期</t>
    <phoneticPr fontId="5" type="noConversion"/>
  </si>
  <si>
    <t>悲觀
的工期</t>
    <phoneticPr fontId="5" type="noConversion"/>
  </si>
  <si>
    <t>負責人</t>
    <phoneticPr fontId="5" type="noConversion"/>
  </si>
  <si>
    <t>會議計劃</t>
    <phoneticPr fontId="5" type="noConversion"/>
  </si>
  <si>
    <t>彙整提問資料</t>
    <phoneticPr fontId="5" type="noConversion"/>
  </si>
  <si>
    <t>列印並傳遞提問資料</t>
    <phoneticPr fontId="5" type="noConversion"/>
  </si>
  <si>
    <t>接受回覆資料</t>
    <phoneticPr fontId="5" type="noConversion"/>
  </si>
  <si>
    <t>資料登打</t>
    <phoneticPr fontId="5" type="noConversion"/>
  </si>
  <si>
    <t>資料分析</t>
    <phoneticPr fontId="5" type="noConversion"/>
  </si>
  <si>
    <t>撰寫報告</t>
    <phoneticPr fontId="5" type="noConversion"/>
  </si>
  <si>
    <t>討論報告初稿</t>
    <phoneticPr fontId="5" type="noConversion"/>
  </si>
  <si>
    <t>徵求意見</t>
    <phoneticPr fontId="5" type="noConversion"/>
  </si>
  <si>
    <t>報告定案完稿</t>
    <phoneticPr fontId="5" type="noConversion"/>
  </si>
  <si>
    <t>發佈訊息公佈報告</t>
    <phoneticPr fontId="5" type="noConversion"/>
  </si>
  <si>
    <t>委員會議</t>
    <phoneticPr fontId="5" type="noConversion"/>
  </si>
  <si>
    <t>資源名稱</t>
  </si>
  <si>
    <t>類型</t>
  </si>
  <si>
    <t>群組</t>
  </si>
  <si>
    <t>最大可用量</t>
  </si>
  <si>
    <t>標準工資</t>
  </si>
  <si>
    <t>加班工資</t>
  </si>
  <si>
    <t>成本/使用</t>
  </si>
  <si>
    <t>成本累算方式</t>
  </si>
  <si>
    <t>邱美美</t>
    <phoneticPr fontId="10" type="noConversion"/>
  </si>
  <si>
    <t>工時</t>
  </si>
  <si>
    <t>經理</t>
    <phoneticPr fontId="10" type="noConversion"/>
  </si>
  <si>
    <t>依比例</t>
  </si>
  <si>
    <t>林挺生</t>
    <phoneticPr fontId="10" type="noConversion"/>
  </si>
  <si>
    <t>趙玉華</t>
    <phoneticPr fontId="10" type="noConversion"/>
  </si>
  <si>
    <t>秘書</t>
    <phoneticPr fontId="10" type="noConversion"/>
  </si>
  <si>
    <t>羅淑琳</t>
    <phoneticPr fontId="10" type="noConversion"/>
  </si>
  <si>
    <t>副理</t>
    <phoneticPr fontId="10" type="noConversion"/>
  </si>
  <si>
    <t>黃志浩</t>
    <phoneticPr fontId="10" type="noConversion"/>
  </si>
  <si>
    <t>沈珊妮</t>
    <phoneticPr fontId="10" type="noConversion"/>
  </si>
  <si>
    <t>課長</t>
    <phoneticPr fontId="10" type="noConversion"/>
  </si>
  <si>
    <t>錢玉鳳</t>
    <phoneticPr fontId="10" type="noConversion"/>
  </si>
  <si>
    <t>孫家理</t>
    <phoneticPr fontId="10" type="noConversion"/>
  </si>
  <si>
    <t>專員</t>
    <phoneticPr fontId="10" type="noConversion"/>
  </si>
  <si>
    <t>陳正從</t>
    <phoneticPr fontId="10" type="noConversion"/>
  </si>
  <si>
    <t>林峰生</t>
    <phoneticPr fontId="10" type="noConversion"/>
  </si>
  <si>
    <t>底片</t>
  </si>
  <si>
    <t>耗材</t>
  </si>
  <si>
    <t>記憶卡256G</t>
  </si>
  <si>
    <t>儲存體</t>
  </si>
  <si>
    <t>2TB隨身碟</t>
  </si>
  <si>
    <t>任務名稱</t>
    <phoneticPr fontId="4" type="noConversion"/>
  </si>
  <si>
    <t>星期一</t>
  </si>
  <si>
    <t>星期一</t>
    <phoneticPr fontId="4" type="noConversion"/>
  </si>
  <si>
    <t>星期二</t>
  </si>
  <si>
    <t>星期三</t>
  </si>
  <si>
    <t>星期四</t>
  </si>
  <si>
    <t>星期五</t>
  </si>
  <si>
    <t>星期六</t>
  </si>
  <si>
    <t>星期日</t>
  </si>
  <si>
    <t>2021~2022年國定假日表</t>
    <phoneticPr fontId="13" type="noConversion"/>
  </si>
  <si>
    <t>日期</t>
    <phoneticPr fontId="4" type="noConversion"/>
  </si>
  <si>
    <t>星期</t>
    <phoneticPr fontId="4" type="noConversion"/>
  </si>
  <si>
    <t>國定假日事由</t>
    <phoneticPr fontId="4" type="noConversion"/>
  </si>
  <si>
    <t>元旦</t>
  </si>
  <si>
    <t>中華民國開國紀念日</t>
  </si>
  <si>
    <t>星期三</t>
    <phoneticPr fontId="4" type="noConversion"/>
  </si>
  <si>
    <t>春節</t>
  </si>
  <si>
    <t>228 紀念日</t>
  </si>
  <si>
    <t>228 紀念日 (放假日)</t>
  </si>
  <si>
    <t>兒童節 (放假日)</t>
  </si>
  <si>
    <t>兒童節</t>
  </si>
  <si>
    <t>清明節</t>
  </si>
  <si>
    <t>清明節 (放假日)</t>
  </si>
  <si>
    <t>勞動節 *</t>
  </si>
  <si>
    <t>端午節</t>
  </si>
  <si>
    <t>中秋節 (放假日)</t>
  </si>
  <si>
    <t>中秋節</t>
  </si>
  <si>
    <t>中華民國國慶日</t>
  </si>
  <si>
    <t>中華民國國慶日 (放假日)</t>
    <phoneticPr fontId="4" type="noConversion"/>
  </si>
  <si>
    <t>中華民國開國紀念日 (放假日)</t>
  </si>
  <si>
    <t>專案完成日期：</t>
    <phoneticPr fontId="5" type="noConversion"/>
  </si>
  <si>
    <t>專案開始日期：</t>
    <phoneticPr fontId="5" type="noConversion"/>
  </si>
  <si>
    <t>資源代碼</t>
    <phoneticPr fontId="4" type="noConversion"/>
  </si>
  <si>
    <t>代碼</t>
    <phoneticPr fontId="4" type="noConversion"/>
  </si>
  <si>
    <t>PERT
三點估算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</si>
</sst>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aaaa;@"/>
  </numFmts>
  <fonts count="14"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9C5700"/>
      <name val="微軟正黑體"/>
      <family val="2"/>
      <charset val="136"/>
    </font>
    <font>
      <b/>
      <sz val="14"/>
      <name val="微軟正黑體"/>
      <family val="2"/>
      <charset val="136"/>
    </font>
    <font>
      <sz val="9"/>
      <name val="微軟正黑體"/>
      <family val="2"/>
      <charset val="136"/>
    </font>
    <font>
      <sz val="10"/>
      <name val="Arial"/>
      <family val="2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color rgb="FF363636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1"/>
      <color theme="1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13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1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medium">
        <color theme="7"/>
      </top>
      <bottom/>
      <diagonal/>
    </border>
    <border>
      <left style="thin">
        <color theme="7"/>
      </left>
      <right style="thin">
        <color theme="7"/>
      </right>
      <top style="medium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0"/>
    <xf numFmtId="0" fontId="11" fillId="0" borderId="0"/>
  </cellStyleXfs>
  <cellXfs count="36">
    <xf numFmtId="0" fontId="0" fillId="0" borderId="0" xfId="0">
      <alignment vertical="center"/>
    </xf>
    <xf numFmtId="0" fontId="3" fillId="0" borderId="0" xfId="0" applyFont="1" applyAlignment="1"/>
    <xf numFmtId="0" fontId="6" fillId="0" borderId="0" xfId="0" applyFont="1" applyAlignment="1"/>
    <xf numFmtId="0" fontId="8" fillId="4" borderId="1" xfId="2" applyFont="1" applyFill="1" applyBorder="1" applyAlignment="1">
      <alignment vertical="center" wrapText="1"/>
    </xf>
    <xf numFmtId="0" fontId="6" fillId="0" borderId="0" xfId="2" applyFont="1"/>
    <xf numFmtId="0" fontId="9" fillId="5" borderId="1" xfId="2" applyFont="1" applyFill="1" applyBorder="1" applyAlignment="1">
      <alignment vertical="center" wrapText="1"/>
    </xf>
    <xf numFmtId="9" fontId="9" fillId="5" borderId="1" xfId="2" applyNumberFormat="1" applyFont="1" applyFill="1" applyBorder="1" applyAlignment="1">
      <alignment horizontal="right" vertical="center" wrapText="1"/>
    </xf>
    <xf numFmtId="0" fontId="9" fillId="5" borderId="1" xfId="2" applyFont="1" applyFill="1" applyBorder="1" applyAlignment="1">
      <alignment horizontal="right" vertical="center" wrapText="1"/>
    </xf>
    <xf numFmtId="0" fontId="7" fillId="3" borderId="2" xfId="0" applyFont="1" applyFill="1" applyBorder="1" applyAlignment="1"/>
    <xf numFmtId="0" fontId="7" fillId="3" borderId="2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center" wrapText="1"/>
    </xf>
    <xf numFmtId="0" fontId="6" fillId="0" borderId="2" xfId="0" applyFont="1" applyBorder="1" applyAlignment="1"/>
    <xf numFmtId="14" fontId="6" fillId="0" borderId="2" xfId="0" applyNumberFormat="1" applyFont="1" applyBorder="1" applyAlignment="1"/>
    <xf numFmtId="0" fontId="6" fillId="0" borderId="2" xfId="0" applyFont="1" applyBorder="1" applyAlignment="1">
      <alignment horizontal="center"/>
    </xf>
    <xf numFmtId="14" fontId="6" fillId="6" borderId="2" xfId="0" applyNumberFormat="1" applyFont="1" applyFill="1" applyBorder="1" applyAlignment="1"/>
    <xf numFmtId="176" fontId="6" fillId="6" borderId="3" xfId="0" applyNumberFormat="1" applyFont="1" applyFill="1" applyBorder="1" applyAlignment="1"/>
    <xf numFmtId="0" fontId="12" fillId="0" borderId="0" xfId="3" applyFont="1"/>
    <xf numFmtId="0" fontId="1" fillId="0" borderId="0" xfId="3" applyFont="1"/>
    <xf numFmtId="14" fontId="7" fillId="2" borderId="4" xfId="1" applyNumberFormat="1" applyFont="1" applyBorder="1" applyAlignment="1">
      <alignment horizontal="left"/>
    </xf>
    <xf numFmtId="0" fontId="7" fillId="2" borderId="4" xfId="1" applyFont="1" applyBorder="1" applyAlignment="1"/>
    <xf numFmtId="0" fontId="7" fillId="2" borderId="5" xfId="1" applyFont="1" applyBorder="1" applyAlignment="1"/>
    <xf numFmtId="14" fontId="1" fillId="7" borderId="6" xfId="3" applyNumberFormat="1" applyFont="1" applyFill="1" applyBorder="1" applyAlignment="1">
      <alignment horizontal="left"/>
    </xf>
    <xf numFmtId="0" fontId="1" fillId="7" borderId="6" xfId="3" applyFont="1" applyFill="1" applyBorder="1"/>
    <xf numFmtId="0" fontId="1" fillId="7" borderId="7" xfId="3" applyFont="1" applyFill="1" applyBorder="1"/>
    <xf numFmtId="14" fontId="1" fillId="0" borderId="4" xfId="3" applyNumberFormat="1" applyFont="1" applyBorder="1" applyAlignment="1">
      <alignment horizontal="left"/>
    </xf>
    <xf numFmtId="0" fontId="1" fillId="0" borderId="4" xfId="3" applyFont="1" applyBorder="1"/>
    <xf numFmtId="0" fontId="1" fillId="0" borderId="5" xfId="3" applyFont="1" applyBorder="1"/>
    <xf numFmtId="14" fontId="1" fillId="7" borderId="4" xfId="3" applyNumberFormat="1" applyFont="1" applyFill="1" applyBorder="1" applyAlignment="1">
      <alignment horizontal="left"/>
    </xf>
    <xf numFmtId="0" fontId="1" fillId="7" borderId="4" xfId="3" applyFont="1" applyFill="1" applyBorder="1"/>
    <xf numFmtId="0" fontId="1" fillId="7" borderId="5" xfId="3" applyFont="1" applyFill="1" applyBorder="1"/>
    <xf numFmtId="14" fontId="1" fillId="0" borderId="8" xfId="3" applyNumberFormat="1" applyFont="1" applyBorder="1" applyAlignment="1">
      <alignment horizontal="left"/>
    </xf>
    <xf numFmtId="0" fontId="1" fillId="0" borderId="8" xfId="3" applyFont="1" applyBorder="1"/>
    <xf numFmtId="0" fontId="1" fillId="0" borderId="9" xfId="3" applyFont="1" applyBorder="1"/>
    <xf numFmtId="0" fontId="8" fillId="4" borderId="1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14" fontId="6" fillId="6" borderId="3" xfId="0" applyNumberFormat="1" applyFont="1" applyFill="1" applyBorder="1" applyAlignment="1"/>
  </cellXfs>
  <cellStyles count="4">
    <cellStyle name="一般" xfId="0" builtinId="0"/>
    <cellStyle name="一般 2" xfId="2" xr:uid="{3944D872-BDAD-466E-A825-1FB2C911D7AD}"/>
    <cellStyle name="一般 2 2" xfId="3" xr:uid="{73AB4C26-E840-4774-8AD4-1AEB1EFD310F}"/>
    <cellStyle name="中等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2991-CF58-4B7A-AD26-80F47877DA41}">
  <dimension ref="A1:J17"/>
  <sheetViews>
    <sheetView tabSelected="1" workbookViewId="0">
      <selection activeCell="F6" sqref="F6"/>
    </sheetView>
  </sheetViews>
  <sheetFormatPr defaultRowHeight="15"/>
  <cols>
    <col min="1" max="1" width="16.44140625" customWidth="1"/>
    <col min="2" max="2" width="12" customWidth="1"/>
    <col min="3" max="3" width="8" customWidth="1"/>
    <col min="4" max="4" width="12.109375" customWidth="1"/>
    <col min="5" max="5" width="5.5546875" customWidth="1"/>
    <col min="6" max="6" width="9.5546875" customWidth="1"/>
    <col min="7" max="9" width="7" customWidth="1"/>
    <col min="10" max="10" width="8.109375" customWidth="1"/>
  </cols>
  <sheetData>
    <row r="1" spans="1:10" ht="18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81</v>
      </c>
      <c r="B3" s="14">
        <v>44299</v>
      </c>
      <c r="C3" s="15"/>
      <c r="D3" s="2"/>
      <c r="E3" s="2"/>
      <c r="F3" s="2"/>
      <c r="G3" s="2"/>
      <c r="H3" s="2"/>
      <c r="I3" s="2"/>
      <c r="J3" s="2"/>
    </row>
    <row r="4" spans="1:10">
      <c r="A4" s="2" t="s">
        <v>80</v>
      </c>
      <c r="B4" s="35">
        <f>D17</f>
        <v>44395</v>
      </c>
      <c r="C4" s="15"/>
      <c r="D4" s="2"/>
      <c r="E4" s="2"/>
      <c r="F4" s="2"/>
      <c r="G4" s="2"/>
      <c r="H4" s="2"/>
      <c r="I4" s="2"/>
      <c r="J4" s="2"/>
    </row>
    <row r="5" spans="1:10" ht="30">
      <c r="A5" s="8" t="s">
        <v>50</v>
      </c>
      <c r="B5" s="9" t="s">
        <v>1</v>
      </c>
      <c r="C5" s="9" t="s">
        <v>2</v>
      </c>
      <c r="D5" s="9" t="s">
        <v>3</v>
      </c>
      <c r="E5" s="10" t="s">
        <v>83</v>
      </c>
      <c r="F5" s="9" t="s">
        <v>7</v>
      </c>
      <c r="G5" s="10" t="s">
        <v>4</v>
      </c>
      <c r="H5" s="10" t="s">
        <v>5</v>
      </c>
      <c r="I5" s="10" t="s">
        <v>6</v>
      </c>
      <c r="J5" s="10" t="s">
        <v>84</v>
      </c>
    </row>
    <row r="6" spans="1:10">
      <c r="A6" s="11" t="s">
        <v>8</v>
      </c>
      <c r="B6" s="12">
        <f>IF(B3="","-",B3)</f>
        <v>44299</v>
      </c>
      <c r="C6" s="11">
        <v>3</v>
      </c>
      <c r="D6" s="12">
        <f>WORKDAY(B6,C6,假日清單)-1</f>
        <v>44301</v>
      </c>
      <c r="E6" s="13">
        <v>1</v>
      </c>
      <c r="F6" s="11"/>
      <c r="G6" s="13">
        <v>2</v>
      </c>
      <c r="H6" s="13">
        <v>2</v>
      </c>
      <c r="I6" s="13">
        <v>6</v>
      </c>
      <c r="J6" s="13"/>
    </row>
    <row r="7" spans="1:10">
      <c r="A7" s="11" t="s">
        <v>9</v>
      </c>
      <c r="B7" s="12">
        <f>D6+1</f>
        <v>44302</v>
      </c>
      <c r="C7" s="11">
        <v>3</v>
      </c>
      <c r="D7" s="12">
        <f t="shared" ref="D7:D17" si="0">WORKDAY(B7,C7)-1</f>
        <v>44306</v>
      </c>
      <c r="E7" s="13">
        <v>3</v>
      </c>
      <c r="F7" s="11"/>
      <c r="G7" s="13">
        <v>3</v>
      </c>
      <c r="H7" s="13">
        <v>2</v>
      </c>
      <c r="I7" s="13">
        <v>7</v>
      </c>
      <c r="J7" s="13"/>
    </row>
    <row r="8" spans="1:10">
      <c r="A8" s="11" t="s">
        <v>10</v>
      </c>
      <c r="B8" s="12">
        <f t="shared" ref="B8:B17" si="1">D7+1</f>
        <v>44307</v>
      </c>
      <c r="C8" s="11">
        <v>10</v>
      </c>
      <c r="D8" s="12">
        <f t="shared" si="0"/>
        <v>44320</v>
      </c>
      <c r="E8" s="13">
        <v>5</v>
      </c>
      <c r="F8" s="11"/>
      <c r="G8" s="13">
        <v>12</v>
      </c>
      <c r="H8" s="13">
        <v>8</v>
      </c>
      <c r="I8" s="13">
        <v>18</v>
      </c>
      <c r="J8" s="13"/>
    </row>
    <row r="9" spans="1:10">
      <c r="A9" s="11" t="s">
        <v>11</v>
      </c>
      <c r="B9" s="12">
        <f t="shared" si="1"/>
        <v>44321</v>
      </c>
      <c r="C9" s="11">
        <v>3</v>
      </c>
      <c r="D9" s="12">
        <f t="shared" si="0"/>
        <v>44325</v>
      </c>
      <c r="E9" s="13">
        <v>7</v>
      </c>
      <c r="F9" s="11"/>
      <c r="G9" s="13">
        <v>3</v>
      </c>
      <c r="H9" s="13">
        <v>2</v>
      </c>
      <c r="I9" s="13">
        <v>6</v>
      </c>
      <c r="J9" s="13"/>
    </row>
    <row r="10" spans="1:10">
      <c r="A10" s="11" t="s">
        <v>12</v>
      </c>
      <c r="B10" s="12">
        <f t="shared" si="1"/>
        <v>44326</v>
      </c>
      <c r="C10" s="11">
        <v>13</v>
      </c>
      <c r="D10" s="12">
        <f t="shared" si="0"/>
        <v>44342</v>
      </c>
      <c r="E10" s="13">
        <v>2</v>
      </c>
      <c r="F10" s="11"/>
      <c r="G10" s="13">
        <v>15</v>
      </c>
      <c r="H10" s="13">
        <v>9</v>
      </c>
      <c r="I10" s="13">
        <v>24</v>
      </c>
      <c r="J10" s="13"/>
    </row>
    <row r="11" spans="1:10">
      <c r="A11" s="11" t="s">
        <v>13</v>
      </c>
      <c r="B11" s="12">
        <f t="shared" si="1"/>
        <v>44343</v>
      </c>
      <c r="C11" s="11">
        <v>2</v>
      </c>
      <c r="D11" s="12">
        <f t="shared" si="0"/>
        <v>44346</v>
      </c>
      <c r="E11" s="13">
        <v>3</v>
      </c>
      <c r="F11" s="11"/>
      <c r="G11" s="13">
        <v>3</v>
      </c>
      <c r="H11" s="13">
        <v>1</v>
      </c>
      <c r="I11" s="13">
        <v>5</v>
      </c>
      <c r="J11" s="13"/>
    </row>
    <row r="12" spans="1:10">
      <c r="A12" s="11" t="s">
        <v>14</v>
      </c>
      <c r="B12" s="12">
        <f t="shared" si="1"/>
        <v>44347</v>
      </c>
      <c r="C12" s="11">
        <v>4</v>
      </c>
      <c r="D12" s="12">
        <f t="shared" si="0"/>
        <v>44350</v>
      </c>
      <c r="E12" s="13">
        <v>5</v>
      </c>
      <c r="F12" s="11"/>
      <c r="G12" s="13">
        <v>5</v>
      </c>
      <c r="H12" s="13">
        <v>3</v>
      </c>
      <c r="I12" s="13">
        <v>7</v>
      </c>
      <c r="J12" s="13"/>
    </row>
    <row r="13" spans="1:10">
      <c r="A13" s="11" t="s">
        <v>15</v>
      </c>
      <c r="B13" s="12">
        <f t="shared" si="1"/>
        <v>44351</v>
      </c>
      <c r="C13" s="11">
        <v>9</v>
      </c>
      <c r="D13" s="12">
        <f t="shared" si="0"/>
        <v>44363</v>
      </c>
      <c r="E13" s="13">
        <v>6</v>
      </c>
      <c r="F13" s="11"/>
      <c r="G13" s="13">
        <v>12</v>
      </c>
      <c r="H13" s="13">
        <v>5</v>
      </c>
      <c r="I13" s="13">
        <v>19</v>
      </c>
      <c r="J13" s="13"/>
    </row>
    <row r="14" spans="1:10">
      <c r="A14" s="11" t="s">
        <v>16</v>
      </c>
      <c r="B14" s="12">
        <f t="shared" si="1"/>
        <v>44364</v>
      </c>
      <c r="C14" s="11">
        <v>9</v>
      </c>
      <c r="D14" s="12">
        <f t="shared" si="0"/>
        <v>44376</v>
      </c>
      <c r="E14" s="13">
        <v>1</v>
      </c>
      <c r="F14" s="11"/>
      <c r="G14" s="13">
        <v>10</v>
      </c>
      <c r="H14" s="13">
        <v>6</v>
      </c>
      <c r="I14" s="13">
        <v>22</v>
      </c>
      <c r="J14" s="13"/>
    </row>
    <row r="15" spans="1:10">
      <c r="A15" s="11" t="s">
        <v>17</v>
      </c>
      <c r="B15" s="12">
        <f t="shared" si="1"/>
        <v>44377</v>
      </c>
      <c r="C15" s="11">
        <v>5</v>
      </c>
      <c r="D15" s="12">
        <f t="shared" si="0"/>
        <v>44383</v>
      </c>
      <c r="E15" s="13">
        <v>8</v>
      </c>
      <c r="F15" s="11"/>
      <c r="G15" s="13">
        <v>7</v>
      </c>
      <c r="H15" s="13">
        <v>3</v>
      </c>
      <c r="I15" s="13">
        <v>12</v>
      </c>
      <c r="J15" s="13"/>
    </row>
    <row r="16" spans="1:10">
      <c r="A16" s="11" t="s">
        <v>18</v>
      </c>
      <c r="B16" s="12">
        <f t="shared" si="1"/>
        <v>44384</v>
      </c>
      <c r="C16" s="11">
        <v>3</v>
      </c>
      <c r="D16" s="12">
        <f t="shared" si="0"/>
        <v>44388</v>
      </c>
      <c r="E16" s="13">
        <v>4</v>
      </c>
      <c r="F16" s="11"/>
      <c r="G16" s="13">
        <v>4</v>
      </c>
      <c r="H16" s="13">
        <v>2</v>
      </c>
      <c r="I16" s="13">
        <v>6</v>
      </c>
      <c r="J16" s="13"/>
    </row>
    <row r="17" spans="1:10">
      <c r="A17" s="11" t="s">
        <v>19</v>
      </c>
      <c r="B17" s="12">
        <f t="shared" si="1"/>
        <v>44389</v>
      </c>
      <c r="C17" s="11">
        <v>5</v>
      </c>
      <c r="D17" s="12">
        <f t="shared" si="0"/>
        <v>44395</v>
      </c>
      <c r="E17" s="13">
        <v>10</v>
      </c>
      <c r="F17" s="11"/>
      <c r="G17" s="13">
        <v>6</v>
      </c>
      <c r="H17" s="13">
        <v>3</v>
      </c>
      <c r="I17" s="13">
        <v>10</v>
      </c>
      <c r="J17" s="13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B7A0-B546-42F2-B619-5F1E6DA3A1F6}">
  <dimension ref="A1:I14"/>
  <sheetViews>
    <sheetView workbookViewId="0">
      <selection activeCell="A2" sqref="A2"/>
    </sheetView>
  </sheetViews>
  <sheetFormatPr defaultRowHeight="15"/>
  <cols>
    <col min="1" max="1" width="8.21875" style="4" bestFit="1" customWidth="1"/>
    <col min="2" max="2" width="6.5546875" style="4" bestFit="1" customWidth="1"/>
    <col min="3" max="3" width="10.88671875" style="4" bestFit="1" customWidth="1"/>
    <col min="4" max="4" width="8.88671875" style="4"/>
    <col min="5" max="5" width="10" style="4" customWidth="1"/>
    <col min="6" max="8" width="8.88671875" style="4"/>
    <col min="9" max="9" width="15" style="4" customWidth="1"/>
    <col min="10" max="16384" width="8.88671875" style="4"/>
  </cols>
  <sheetData>
    <row r="1" spans="1:9">
      <c r="A1" s="33" t="s">
        <v>82</v>
      </c>
      <c r="B1" s="3" t="s">
        <v>22</v>
      </c>
      <c r="C1" s="3" t="s">
        <v>20</v>
      </c>
      <c r="D1" s="3" t="s">
        <v>21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>
      <c r="A2" s="34">
        <v>1</v>
      </c>
      <c r="B2" s="5" t="s">
        <v>30</v>
      </c>
      <c r="C2" s="5" t="s">
        <v>28</v>
      </c>
      <c r="D2" s="5" t="s">
        <v>29</v>
      </c>
      <c r="E2" s="6">
        <v>1</v>
      </c>
      <c r="F2" s="7">
        <v>8000</v>
      </c>
      <c r="G2" s="7">
        <v>14400</v>
      </c>
      <c r="H2" s="7">
        <v>0</v>
      </c>
      <c r="I2" s="5" t="s">
        <v>31</v>
      </c>
    </row>
    <row r="3" spans="1:9">
      <c r="A3" s="34">
        <v>2</v>
      </c>
      <c r="B3" s="5" t="s">
        <v>30</v>
      </c>
      <c r="C3" s="5" t="s">
        <v>32</v>
      </c>
      <c r="D3" s="5" t="s">
        <v>29</v>
      </c>
      <c r="E3" s="6">
        <v>1</v>
      </c>
      <c r="F3" s="7">
        <v>6000</v>
      </c>
      <c r="G3" s="7">
        <v>10800</v>
      </c>
      <c r="H3" s="7">
        <v>0</v>
      </c>
      <c r="I3" s="5" t="s">
        <v>31</v>
      </c>
    </row>
    <row r="4" spans="1:9">
      <c r="A4" s="34">
        <v>3</v>
      </c>
      <c r="B4" s="5" t="s">
        <v>34</v>
      </c>
      <c r="C4" s="5" t="s">
        <v>33</v>
      </c>
      <c r="D4" s="5" t="s">
        <v>29</v>
      </c>
      <c r="E4" s="6">
        <v>1</v>
      </c>
      <c r="F4" s="7">
        <v>5000</v>
      </c>
      <c r="G4" s="7">
        <v>9000</v>
      </c>
      <c r="H4" s="7">
        <v>0</v>
      </c>
      <c r="I4" s="5" t="s">
        <v>31</v>
      </c>
    </row>
    <row r="5" spans="1:9">
      <c r="A5" s="34">
        <v>4</v>
      </c>
      <c r="B5" s="5" t="s">
        <v>36</v>
      </c>
      <c r="C5" s="5" t="s">
        <v>35</v>
      </c>
      <c r="D5" s="5" t="s">
        <v>29</v>
      </c>
      <c r="E5" s="6">
        <v>1</v>
      </c>
      <c r="F5" s="7">
        <v>3000</v>
      </c>
      <c r="G5" s="7">
        <v>5400</v>
      </c>
      <c r="H5" s="7">
        <v>0</v>
      </c>
      <c r="I5" s="5" t="s">
        <v>31</v>
      </c>
    </row>
    <row r="6" spans="1:9">
      <c r="A6" s="34">
        <v>5</v>
      </c>
      <c r="B6" s="5" t="s">
        <v>36</v>
      </c>
      <c r="C6" s="5" t="s">
        <v>37</v>
      </c>
      <c r="D6" s="5" t="s">
        <v>29</v>
      </c>
      <c r="E6" s="6">
        <v>0.5</v>
      </c>
      <c r="F6" s="7">
        <v>5000</v>
      </c>
      <c r="G6" s="7">
        <v>9000</v>
      </c>
      <c r="H6" s="7">
        <v>0</v>
      </c>
      <c r="I6" s="5" t="s">
        <v>31</v>
      </c>
    </row>
    <row r="7" spans="1:9">
      <c r="A7" s="34">
        <v>6</v>
      </c>
      <c r="B7" s="5" t="s">
        <v>39</v>
      </c>
      <c r="C7" s="5" t="s">
        <v>38</v>
      </c>
      <c r="D7" s="5" t="s">
        <v>29</v>
      </c>
      <c r="E7" s="6">
        <v>1</v>
      </c>
      <c r="F7" s="7">
        <v>600</v>
      </c>
      <c r="G7" s="7">
        <v>1080</v>
      </c>
      <c r="H7" s="7">
        <v>0</v>
      </c>
      <c r="I7" s="5" t="s">
        <v>31</v>
      </c>
    </row>
    <row r="8" spans="1:9">
      <c r="A8" s="34">
        <v>7</v>
      </c>
      <c r="B8" s="5" t="s">
        <v>39</v>
      </c>
      <c r="C8" s="5" t="s">
        <v>40</v>
      </c>
      <c r="D8" s="5" t="s">
        <v>29</v>
      </c>
      <c r="E8" s="6">
        <v>1</v>
      </c>
      <c r="F8" s="7">
        <v>800</v>
      </c>
      <c r="G8" s="7">
        <v>1440</v>
      </c>
      <c r="H8" s="7">
        <v>0</v>
      </c>
      <c r="I8" s="5" t="s">
        <v>31</v>
      </c>
    </row>
    <row r="9" spans="1:9">
      <c r="A9" s="34">
        <v>8</v>
      </c>
      <c r="B9" s="5" t="s">
        <v>42</v>
      </c>
      <c r="C9" s="5" t="s">
        <v>41</v>
      </c>
      <c r="D9" s="5" t="s">
        <v>29</v>
      </c>
      <c r="E9" s="6">
        <v>1</v>
      </c>
      <c r="F9" s="7">
        <v>500</v>
      </c>
      <c r="G9" s="7">
        <v>900</v>
      </c>
      <c r="H9" s="7">
        <v>0</v>
      </c>
      <c r="I9" s="5" t="s">
        <v>31</v>
      </c>
    </row>
    <row r="10" spans="1:9">
      <c r="A10" s="34">
        <v>9</v>
      </c>
      <c r="B10" s="5" t="s">
        <v>42</v>
      </c>
      <c r="C10" s="5" t="s">
        <v>43</v>
      </c>
      <c r="D10" s="5" t="s">
        <v>29</v>
      </c>
      <c r="E10" s="6">
        <v>1</v>
      </c>
      <c r="F10" s="7">
        <v>300</v>
      </c>
      <c r="G10" s="7">
        <v>540</v>
      </c>
      <c r="H10" s="7">
        <v>0</v>
      </c>
      <c r="I10" s="5" t="s">
        <v>31</v>
      </c>
    </row>
    <row r="11" spans="1:9">
      <c r="A11" s="34">
        <v>10</v>
      </c>
      <c r="B11" s="5" t="s">
        <v>42</v>
      </c>
      <c r="C11" s="5" t="s">
        <v>44</v>
      </c>
      <c r="D11" s="5" t="s">
        <v>29</v>
      </c>
      <c r="E11" s="6">
        <v>1</v>
      </c>
      <c r="F11" s="7">
        <v>200</v>
      </c>
      <c r="G11" s="7">
        <v>360</v>
      </c>
      <c r="H11" s="7">
        <v>0</v>
      </c>
      <c r="I11" s="5" t="s">
        <v>31</v>
      </c>
    </row>
    <row r="12" spans="1:9">
      <c r="A12" s="34">
        <v>11</v>
      </c>
      <c r="B12" s="5" t="s">
        <v>46</v>
      </c>
      <c r="C12" s="5" t="s">
        <v>45</v>
      </c>
      <c r="D12" s="5" t="s">
        <v>29</v>
      </c>
      <c r="E12" s="6">
        <v>1</v>
      </c>
      <c r="F12" s="7">
        <v>80</v>
      </c>
      <c r="G12" s="7"/>
      <c r="H12" s="7">
        <v>0</v>
      </c>
      <c r="I12" s="5" t="s">
        <v>31</v>
      </c>
    </row>
    <row r="13" spans="1:9">
      <c r="A13" s="34">
        <v>12</v>
      </c>
      <c r="B13" s="5" t="s">
        <v>48</v>
      </c>
      <c r="C13" s="5" t="s">
        <v>47</v>
      </c>
      <c r="D13" s="5" t="s">
        <v>29</v>
      </c>
      <c r="E13" s="6">
        <v>1</v>
      </c>
      <c r="F13" s="7">
        <v>300</v>
      </c>
      <c r="G13" s="7"/>
      <c r="H13" s="7">
        <v>0</v>
      </c>
      <c r="I13" s="5" t="s">
        <v>31</v>
      </c>
    </row>
    <row r="14" spans="1:9">
      <c r="A14" s="34">
        <v>13</v>
      </c>
      <c r="B14" s="5" t="s">
        <v>48</v>
      </c>
      <c r="C14" s="5" t="s">
        <v>49</v>
      </c>
      <c r="D14" s="5" t="s">
        <v>29</v>
      </c>
      <c r="E14" s="6">
        <v>1</v>
      </c>
      <c r="F14" s="7">
        <v>8950</v>
      </c>
      <c r="G14" s="7"/>
      <c r="H14" s="7">
        <v>0</v>
      </c>
      <c r="I14" s="5" t="s">
        <v>31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1A90-0D28-41D6-8891-8820CF1245C8}">
  <dimension ref="A1:C38"/>
  <sheetViews>
    <sheetView workbookViewId="0">
      <selection activeCell="A3" sqref="A3"/>
    </sheetView>
  </sheetViews>
  <sheetFormatPr defaultRowHeight="15"/>
  <cols>
    <col min="1" max="1" width="11.44140625" style="17" bestFit="1" customWidth="1"/>
    <col min="2" max="2" width="6.88671875" style="17" bestFit="1" customWidth="1"/>
    <col min="3" max="3" width="24.77734375" style="17" bestFit="1" customWidth="1"/>
    <col min="4" max="16384" width="8.88671875" style="17"/>
  </cols>
  <sheetData>
    <row r="1" spans="1:3" ht="18.75">
      <c r="A1" s="16" t="s">
        <v>59</v>
      </c>
    </row>
    <row r="2" spans="1:3" ht="15.75" thickBot="1">
      <c r="A2" s="18" t="s">
        <v>60</v>
      </c>
      <c r="B2" s="19" t="s">
        <v>61</v>
      </c>
      <c r="C2" s="20" t="s">
        <v>62</v>
      </c>
    </row>
    <row r="3" spans="1:3">
      <c r="A3" s="21">
        <v>44197</v>
      </c>
      <c r="B3" s="22" t="s">
        <v>56</v>
      </c>
      <c r="C3" s="23" t="s">
        <v>63</v>
      </c>
    </row>
    <row r="4" spans="1:3">
      <c r="A4" s="24">
        <v>44197</v>
      </c>
      <c r="B4" s="25" t="s">
        <v>56</v>
      </c>
      <c r="C4" s="26" t="s">
        <v>64</v>
      </c>
    </row>
    <row r="5" spans="1:3">
      <c r="A5" s="27">
        <v>44237</v>
      </c>
      <c r="B5" s="28" t="s">
        <v>65</v>
      </c>
      <c r="C5" s="29" t="s">
        <v>66</v>
      </c>
    </row>
    <row r="6" spans="1:3">
      <c r="A6" s="24">
        <v>44238</v>
      </c>
      <c r="B6" s="25" t="s">
        <v>55</v>
      </c>
      <c r="C6" s="26" t="s">
        <v>66</v>
      </c>
    </row>
    <row r="7" spans="1:3">
      <c r="A7" s="27">
        <v>44239</v>
      </c>
      <c r="B7" s="28" t="s">
        <v>56</v>
      </c>
      <c r="C7" s="29" t="s">
        <v>66</v>
      </c>
    </row>
    <row r="8" spans="1:3">
      <c r="A8" s="24">
        <v>44240</v>
      </c>
      <c r="B8" s="25" t="s">
        <v>57</v>
      </c>
      <c r="C8" s="26" t="s">
        <v>66</v>
      </c>
    </row>
    <row r="9" spans="1:3">
      <c r="A9" s="27">
        <v>44241</v>
      </c>
      <c r="B9" s="28" t="s">
        <v>58</v>
      </c>
      <c r="C9" s="29" t="s">
        <v>66</v>
      </c>
    </row>
    <row r="10" spans="1:3">
      <c r="A10" s="24">
        <v>44242</v>
      </c>
      <c r="B10" s="25" t="s">
        <v>51</v>
      </c>
      <c r="C10" s="26" t="s">
        <v>66</v>
      </c>
    </row>
    <row r="11" spans="1:3">
      <c r="A11" s="27">
        <v>44243</v>
      </c>
      <c r="B11" s="28" t="s">
        <v>53</v>
      </c>
      <c r="C11" s="29" t="s">
        <v>66</v>
      </c>
    </row>
    <row r="12" spans="1:3">
      <c r="A12" s="24">
        <v>44255</v>
      </c>
      <c r="B12" s="25" t="s">
        <v>58</v>
      </c>
      <c r="C12" s="26" t="s">
        <v>67</v>
      </c>
    </row>
    <row r="13" spans="1:3">
      <c r="A13" s="27">
        <v>44256</v>
      </c>
      <c r="B13" s="28" t="s">
        <v>51</v>
      </c>
      <c r="C13" s="29" t="s">
        <v>68</v>
      </c>
    </row>
    <row r="14" spans="1:3">
      <c r="A14" s="24">
        <v>44288</v>
      </c>
      <c r="B14" s="25" t="s">
        <v>56</v>
      </c>
      <c r="C14" s="26" t="s">
        <v>69</v>
      </c>
    </row>
    <row r="15" spans="1:3">
      <c r="A15" s="27">
        <v>44290</v>
      </c>
      <c r="B15" s="28" t="s">
        <v>58</v>
      </c>
      <c r="C15" s="29" t="s">
        <v>70</v>
      </c>
    </row>
    <row r="16" spans="1:3">
      <c r="A16" s="24">
        <v>44290</v>
      </c>
      <c r="B16" s="25" t="s">
        <v>58</v>
      </c>
      <c r="C16" s="26" t="s">
        <v>71</v>
      </c>
    </row>
    <row r="17" spans="1:3">
      <c r="A17" s="27">
        <v>44291</v>
      </c>
      <c r="B17" s="28" t="s">
        <v>51</v>
      </c>
      <c r="C17" s="29" t="s">
        <v>72</v>
      </c>
    </row>
    <row r="18" spans="1:3">
      <c r="A18" s="24">
        <v>44317</v>
      </c>
      <c r="B18" s="25" t="s">
        <v>57</v>
      </c>
      <c r="C18" s="26" t="s">
        <v>73</v>
      </c>
    </row>
    <row r="19" spans="1:3">
      <c r="A19" s="27">
        <v>44361</v>
      </c>
      <c r="B19" s="28" t="s">
        <v>51</v>
      </c>
      <c r="C19" s="29" t="s">
        <v>74</v>
      </c>
    </row>
    <row r="20" spans="1:3">
      <c r="A20" s="24">
        <v>44459</v>
      </c>
      <c r="B20" s="25" t="s">
        <v>51</v>
      </c>
      <c r="C20" s="26" t="s">
        <v>75</v>
      </c>
    </row>
    <row r="21" spans="1:3">
      <c r="A21" s="27">
        <v>44460</v>
      </c>
      <c r="B21" s="28" t="s">
        <v>53</v>
      </c>
      <c r="C21" s="29" t="s">
        <v>76</v>
      </c>
    </row>
    <row r="22" spans="1:3">
      <c r="A22" s="24">
        <v>44479</v>
      </c>
      <c r="B22" s="25" t="s">
        <v>58</v>
      </c>
      <c r="C22" s="26" t="s">
        <v>77</v>
      </c>
    </row>
    <row r="23" spans="1:3">
      <c r="A23" s="27">
        <v>44480</v>
      </c>
      <c r="B23" s="28" t="s">
        <v>51</v>
      </c>
      <c r="C23" s="29" t="s">
        <v>78</v>
      </c>
    </row>
    <row r="24" spans="1:3">
      <c r="A24" s="24">
        <v>44561</v>
      </c>
      <c r="B24" s="25" t="s">
        <v>56</v>
      </c>
      <c r="C24" s="26" t="s">
        <v>79</v>
      </c>
    </row>
    <row r="25" spans="1:3">
      <c r="A25" s="27">
        <v>44562</v>
      </c>
      <c r="B25" s="28" t="s">
        <v>57</v>
      </c>
      <c r="C25" s="29" t="s">
        <v>63</v>
      </c>
    </row>
    <row r="26" spans="1:3">
      <c r="A26" s="24">
        <v>44562</v>
      </c>
      <c r="B26" s="25" t="s">
        <v>57</v>
      </c>
      <c r="C26" s="26" t="s">
        <v>64</v>
      </c>
    </row>
    <row r="27" spans="1:3">
      <c r="A27" s="27">
        <v>44592</v>
      </c>
      <c r="B27" s="28" t="s">
        <v>52</v>
      </c>
      <c r="C27" s="29" t="s">
        <v>66</v>
      </c>
    </row>
    <row r="28" spans="1:3">
      <c r="A28" s="24">
        <v>44593</v>
      </c>
      <c r="B28" s="25" t="s">
        <v>53</v>
      </c>
      <c r="C28" s="26" t="s">
        <v>66</v>
      </c>
    </row>
    <row r="29" spans="1:3">
      <c r="A29" s="27">
        <v>44594</v>
      </c>
      <c r="B29" s="28" t="s">
        <v>54</v>
      </c>
      <c r="C29" s="29" t="s">
        <v>66</v>
      </c>
    </row>
    <row r="30" spans="1:3">
      <c r="A30" s="24">
        <v>44595</v>
      </c>
      <c r="B30" s="25" t="s">
        <v>55</v>
      </c>
      <c r="C30" s="26" t="s">
        <v>66</v>
      </c>
    </row>
    <row r="31" spans="1:3">
      <c r="A31" s="27">
        <v>44596</v>
      </c>
      <c r="B31" s="28" t="s">
        <v>56</v>
      </c>
      <c r="C31" s="29" t="s">
        <v>66</v>
      </c>
    </row>
    <row r="32" spans="1:3">
      <c r="A32" s="24">
        <v>44620</v>
      </c>
      <c r="B32" s="25" t="s">
        <v>51</v>
      </c>
      <c r="C32" s="26" t="s">
        <v>67</v>
      </c>
    </row>
    <row r="33" spans="1:3">
      <c r="A33" s="27">
        <v>44656</v>
      </c>
      <c r="B33" s="28" t="s">
        <v>53</v>
      </c>
      <c r="C33" s="29" t="s">
        <v>70</v>
      </c>
    </row>
    <row r="34" spans="1:3">
      <c r="A34" s="24">
        <v>44656</v>
      </c>
      <c r="B34" s="25" t="s">
        <v>53</v>
      </c>
      <c r="C34" s="26" t="s">
        <v>71</v>
      </c>
    </row>
    <row r="35" spans="1:3">
      <c r="A35" s="27">
        <v>44682</v>
      </c>
      <c r="B35" s="28" t="s">
        <v>58</v>
      </c>
      <c r="C35" s="29" t="s">
        <v>73</v>
      </c>
    </row>
    <row r="36" spans="1:3">
      <c r="A36" s="24">
        <v>44715</v>
      </c>
      <c r="B36" s="25" t="s">
        <v>56</v>
      </c>
      <c r="C36" s="26" t="s">
        <v>74</v>
      </c>
    </row>
    <row r="37" spans="1:3">
      <c r="A37" s="27">
        <v>44814</v>
      </c>
      <c r="B37" s="28" t="s">
        <v>57</v>
      </c>
      <c r="C37" s="29" t="s">
        <v>76</v>
      </c>
    </row>
    <row r="38" spans="1:3">
      <c r="A38" s="30">
        <v>44844</v>
      </c>
      <c r="B38" s="31" t="s">
        <v>51</v>
      </c>
      <c r="C38" s="32" t="s">
        <v>77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2</vt:i4>
      </vt:variant>
    </vt:vector>
  </HeadingPairs>
  <TitlesOfParts>
    <vt:vector size="5" baseType="lpstr">
      <vt:lpstr>會議排程</vt:lpstr>
      <vt:lpstr>資源</vt:lpstr>
      <vt:lpstr>假日表</vt:lpstr>
      <vt:lpstr>假日清單</vt:lpstr>
      <vt:lpstr>資源資料表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mermaid</dc:creator>
  <cp:lastModifiedBy>mermaid</cp:lastModifiedBy>
  <dcterms:created xsi:type="dcterms:W3CDTF">2021-04-12T23:21:22Z</dcterms:created>
  <dcterms:modified xsi:type="dcterms:W3CDTF">2021-04-13T22:23:31Z</dcterms:modified>
</cp:coreProperties>
</file>